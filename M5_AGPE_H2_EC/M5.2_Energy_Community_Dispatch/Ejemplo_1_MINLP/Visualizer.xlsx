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.deoliveiradejes/Dropbox (Personal)/Maestria en Energia (MISE)/MISE_E4/MISE_E4-main/M1.7_Energy_Communitty_Dispatch/Ejemplo_1_MINLP/energy_community_CDS/24h/"/>
    </mc:Choice>
  </mc:AlternateContent>
  <xr:revisionPtr revIDLastSave="0" documentId="13_ncr:1_{31867F87-346B-AE47-A961-1D5A4BFB9F8F}" xr6:coauthVersionLast="47" xr6:coauthVersionMax="47" xr10:uidLastSave="{00000000-0000-0000-0000-000000000000}"/>
  <bookViews>
    <workbookView xWindow="3140" yWindow="500" windowWidth="26340" windowHeight="13680" activeTab="2" xr2:uid="{62883D37-54A6-8344-8071-A35986EFBBDB}"/>
  </bookViews>
  <sheets>
    <sheet name="M7_24 Gurobi Solution" sheetId="2" r:id="rId1"/>
    <sheet name="M7_24 Gams Solution " sheetId="1" r:id="rId2"/>
    <sheet name="Sheet3" sheetId="3" r:id="rId3"/>
  </sheets>
  <externalReferences>
    <externalReference r:id="rId4"/>
    <externalReference r:id="rId5"/>
  </externalReferences>
  <definedNames>
    <definedName name="kappaP1" localSheetId="0">'M7_24 Gurobi Solution'!$B$44</definedName>
    <definedName name="kappaP1">'M7_24 Gams Solution '!$B$44</definedName>
    <definedName name="kappaP2" localSheetId="0">'M7_24 Gurobi Solution'!$B$45</definedName>
    <definedName name="kappaP2">'M7_24 Gams Solution '!$B$45</definedName>
    <definedName name="kappaP3" localSheetId="0">'M7_24 Gurobi Solution'!$B$46</definedName>
    <definedName name="kappaP3">'M7_24 Gams Solution '!$B$46</definedName>
    <definedName name="kappaP4" localSheetId="0">'M7_24 Gurobi Solution'!$B$47</definedName>
    <definedName name="kappaP4">'M7_24 Gams Solution '!$B$47</definedName>
    <definedName name="kappaP5" localSheetId="0">'M7_24 Gurobi Solution'!$B$48</definedName>
    <definedName name="kappaP5">'M7_24 Gams Solution '!$B$48</definedName>
    <definedName name="kappaP6" localSheetId="0">'M7_24 Gurobi Solution'!$B$49</definedName>
    <definedName name="kappaP6">'M7_24 Gams Solution '!$B$49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4" i="3" l="1"/>
  <c r="U15" i="3"/>
  <c r="V15" i="3"/>
  <c r="W15" i="3"/>
  <c r="X15" i="3"/>
  <c r="Y15" i="3"/>
  <c r="Z15" i="3"/>
  <c r="AA15" i="3"/>
  <c r="U16" i="3"/>
  <c r="V16" i="3"/>
  <c r="W16" i="3"/>
  <c r="X16" i="3"/>
  <c r="Y16" i="3"/>
  <c r="Z16" i="3"/>
  <c r="AA16" i="3"/>
  <c r="U17" i="3"/>
  <c r="V17" i="3"/>
  <c r="W17" i="3"/>
  <c r="X17" i="3"/>
  <c r="Y17" i="3"/>
  <c r="Z17" i="3"/>
  <c r="AA17" i="3"/>
  <c r="U18" i="3"/>
  <c r="V18" i="3"/>
  <c r="U19" i="3"/>
  <c r="V19" i="3"/>
  <c r="X18" i="3"/>
  <c r="Y18" i="3"/>
  <c r="Z18" i="3"/>
  <c r="AA18" i="3"/>
  <c r="X19" i="3"/>
  <c r="Y19" i="3"/>
  <c r="Z19" i="3"/>
  <c r="AA19" i="3"/>
  <c r="W18" i="3"/>
  <c r="W19" i="3"/>
  <c r="W21" i="3"/>
  <c r="V20" i="3"/>
  <c r="X20" i="3"/>
  <c r="Y20" i="3"/>
  <c r="Z20" i="3"/>
  <c r="AA20" i="3"/>
  <c r="AB20" i="3"/>
  <c r="V21" i="3"/>
  <c r="X21" i="3"/>
  <c r="Y21" i="3"/>
  <c r="Z21" i="3"/>
  <c r="AA21" i="3"/>
  <c r="AB21" i="3"/>
  <c r="V22" i="3"/>
  <c r="W22" i="3"/>
  <c r="X22" i="3"/>
  <c r="Y22" i="3"/>
  <c r="Z22" i="3"/>
  <c r="AA22" i="3"/>
  <c r="AB22" i="3"/>
  <c r="V23" i="3"/>
  <c r="W23" i="3"/>
  <c r="X23" i="3"/>
  <c r="Y23" i="3"/>
  <c r="Z23" i="3"/>
  <c r="AA23" i="3"/>
  <c r="AB23" i="3"/>
  <c r="V24" i="3"/>
  <c r="W24" i="3"/>
  <c r="X24" i="3"/>
  <c r="Y24" i="3"/>
  <c r="Z24" i="3"/>
  <c r="AA24" i="3"/>
  <c r="AB24" i="3"/>
  <c r="V25" i="3"/>
  <c r="W25" i="3"/>
  <c r="X25" i="3"/>
  <c r="Y25" i="3"/>
  <c r="Z25" i="3"/>
  <c r="AA25" i="3"/>
  <c r="AB25" i="3"/>
  <c r="V26" i="3"/>
  <c r="W26" i="3"/>
  <c r="X26" i="3"/>
  <c r="Y26" i="3"/>
  <c r="Z26" i="3"/>
  <c r="AA26" i="3"/>
  <c r="AB26" i="3"/>
  <c r="V27" i="3"/>
  <c r="W27" i="3"/>
  <c r="X27" i="3"/>
  <c r="Y27" i="3"/>
  <c r="Z27" i="3"/>
  <c r="AA27" i="3"/>
  <c r="AB27" i="3"/>
  <c r="V28" i="3"/>
  <c r="W28" i="3"/>
  <c r="X28" i="3"/>
  <c r="Y28" i="3"/>
  <c r="Z28" i="3"/>
  <c r="AA28" i="3"/>
  <c r="AB28" i="3"/>
  <c r="V29" i="3"/>
  <c r="W29" i="3"/>
  <c r="X29" i="3"/>
  <c r="Y29" i="3"/>
  <c r="Z29" i="3"/>
  <c r="AA29" i="3"/>
  <c r="AB29" i="3"/>
  <c r="V30" i="3"/>
  <c r="W30" i="3"/>
  <c r="X30" i="3"/>
  <c r="Y30" i="3"/>
  <c r="Z30" i="3"/>
  <c r="AA30" i="3"/>
  <c r="AB30" i="3"/>
  <c r="V31" i="3"/>
  <c r="W31" i="3"/>
  <c r="X31" i="3"/>
  <c r="Y31" i="3"/>
  <c r="Z31" i="3"/>
  <c r="AA31" i="3"/>
  <c r="AB31" i="3"/>
  <c r="V32" i="3"/>
  <c r="W32" i="3"/>
  <c r="X32" i="3"/>
  <c r="Y32" i="3"/>
  <c r="Z32" i="3"/>
  <c r="AA32" i="3"/>
  <c r="AB32" i="3"/>
  <c r="V33" i="3"/>
  <c r="W33" i="3"/>
  <c r="X33" i="3"/>
  <c r="Y33" i="3"/>
  <c r="Z33" i="3"/>
  <c r="AA33" i="3"/>
  <c r="AB33" i="3"/>
  <c r="V34" i="3"/>
  <c r="X34" i="3"/>
  <c r="Y34" i="3"/>
  <c r="Z34" i="3"/>
  <c r="AA34" i="3"/>
  <c r="AB34" i="3"/>
  <c r="V35" i="3"/>
  <c r="W35" i="3"/>
  <c r="X35" i="3"/>
  <c r="Y35" i="3"/>
  <c r="Z35" i="3"/>
  <c r="AA35" i="3"/>
  <c r="AB35" i="3"/>
  <c r="V36" i="3"/>
  <c r="W36" i="3"/>
  <c r="X36" i="3"/>
  <c r="Y36" i="3"/>
  <c r="Z36" i="3"/>
  <c r="AA36" i="3"/>
  <c r="AB36" i="3"/>
  <c r="V37" i="3"/>
  <c r="W37" i="3"/>
  <c r="X37" i="3"/>
  <c r="Y37" i="3"/>
  <c r="Z37" i="3"/>
  <c r="AA37" i="3"/>
  <c r="AB37" i="3"/>
  <c r="V38" i="3"/>
  <c r="W38" i="3"/>
  <c r="X38" i="3"/>
  <c r="Y38" i="3"/>
  <c r="Z38" i="3"/>
  <c r="AA38" i="3"/>
  <c r="AB38" i="3"/>
  <c r="V39" i="3"/>
  <c r="W39" i="3"/>
  <c r="X39" i="3"/>
  <c r="Y39" i="3"/>
  <c r="Z39" i="3"/>
  <c r="AA39" i="3"/>
  <c r="AB39" i="3"/>
  <c r="V40" i="3"/>
  <c r="W40" i="3"/>
  <c r="X40" i="3"/>
  <c r="Y40" i="3"/>
  <c r="Z40" i="3"/>
  <c r="AA40" i="3"/>
  <c r="AB40" i="3"/>
  <c r="V41" i="3"/>
  <c r="W41" i="3"/>
  <c r="X41" i="3"/>
  <c r="Y41" i="3"/>
  <c r="Z41" i="3"/>
  <c r="AA41" i="3"/>
  <c r="AB41" i="3"/>
  <c r="V42" i="3"/>
  <c r="W42" i="3"/>
  <c r="X42" i="3"/>
  <c r="Y42" i="3"/>
  <c r="Z42" i="3"/>
  <c r="AA42" i="3"/>
  <c r="AB42" i="3"/>
  <c r="V43" i="3"/>
  <c r="W43" i="3"/>
  <c r="X43" i="3"/>
  <c r="Y43" i="3"/>
  <c r="Z43" i="3"/>
  <c r="AA43" i="3"/>
  <c r="AB43" i="3"/>
  <c r="V44" i="3"/>
  <c r="W44" i="3"/>
  <c r="X44" i="3"/>
  <c r="Y44" i="3"/>
  <c r="Z44" i="3"/>
  <c r="AA44" i="3"/>
  <c r="AB44" i="3"/>
  <c r="V44" i="2"/>
  <c r="W44" i="2" s="1"/>
  <c r="V43" i="2"/>
  <c r="W43" i="2" s="1"/>
  <c r="V42" i="2"/>
  <c r="W42" i="2" s="1"/>
  <c r="V41" i="2"/>
  <c r="W41" i="2" s="1"/>
  <c r="V40" i="2"/>
  <c r="W40" i="2" s="1"/>
  <c r="V39" i="2"/>
  <c r="W39" i="2" s="1"/>
  <c r="V38" i="2"/>
  <c r="W38" i="2" s="1"/>
  <c r="V37" i="2"/>
  <c r="W37" i="2" s="1"/>
  <c r="V36" i="2"/>
  <c r="W36" i="2" s="1"/>
  <c r="V35" i="2"/>
  <c r="W35" i="2" s="1"/>
  <c r="V34" i="2"/>
  <c r="W34" i="2" s="1"/>
  <c r="V33" i="2"/>
  <c r="W33" i="2" s="1"/>
  <c r="V32" i="2"/>
  <c r="W32" i="2" s="1"/>
  <c r="V31" i="2"/>
  <c r="W31" i="2" s="1"/>
  <c r="V30" i="2"/>
  <c r="W30" i="2" s="1"/>
  <c r="V29" i="2"/>
  <c r="W29" i="2" s="1"/>
  <c r="V28" i="2"/>
  <c r="W28" i="2" s="1"/>
  <c r="V27" i="2"/>
  <c r="W27" i="2" s="1"/>
  <c r="V26" i="2"/>
  <c r="W26" i="2" s="1"/>
  <c r="V25" i="2"/>
  <c r="W25" i="2" s="1"/>
  <c r="V24" i="2"/>
  <c r="W24" i="2" s="1"/>
  <c r="V23" i="2"/>
  <c r="W23" i="2" s="1"/>
  <c r="V22" i="2"/>
  <c r="W22" i="2" s="1"/>
  <c r="V21" i="2"/>
  <c r="W21" i="2" s="1"/>
  <c r="T44" i="2"/>
  <c r="S44" i="2"/>
  <c r="T43" i="2"/>
  <c r="S43" i="2" s="1"/>
  <c r="T42" i="2"/>
  <c r="S42" i="2"/>
  <c r="T41" i="2"/>
  <c r="S41" i="2"/>
  <c r="T40" i="2"/>
  <c r="S40" i="2"/>
  <c r="T39" i="2"/>
  <c r="S39" i="2" s="1"/>
  <c r="T38" i="2"/>
  <c r="S38" i="2"/>
  <c r="T37" i="2"/>
  <c r="S37" i="2"/>
  <c r="T36" i="2"/>
  <c r="S36" i="2"/>
  <c r="T35" i="2"/>
  <c r="S35" i="2" s="1"/>
  <c r="T34" i="2"/>
  <c r="S34" i="2"/>
  <c r="T33" i="2"/>
  <c r="S33" i="2"/>
  <c r="T32" i="2"/>
  <c r="S32" i="2"/>
  <c r="T31" i="2"/>
  <c r="S31" i="2" s="1"/>
  <c r="T30" i="2"/>
  <c r="S30" i="2"/>
  <c r="T29" i="2"/>
  <c r="S29" i="2"/>
  <c r="T28" i="2"/>
  <c r="S28" i="2"/>
  <c r="T27" i="2"/>
  <c r="S27" i="2" s="1"/>
  <c r="T26" i="2"/>
  <c r="S26" i="2"/>
  <c r="T25" i="2"/>
  <c r="S25" i="2"/>
  <c r="T24" i="2"/>
  <c r="S24" i="2"/>
  <c r="T23" i="2"/>
  <c r="S23" i="2" s="1"/>
  <c r="T22" i="2"/>
  <c r="S22" i="2"/>
  <c r="T21" i="2"/>
  <c r="S21" i="2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21" i="1"/>
  <c r="T44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21" i="1"/>
  <c r="BD22" i="1"/>
  <c r="BD23" i="1"/>
  <c r="BD24" i="1"/>
  <c r="BD25" i="1"/>
  <c r="BD26" i="1"/>
  <c r="BD39" i="1"/>
  <c r="BD40" i="1"/>
  <c r="BD41" i="1"/>
  <c r="BD42" i="1"/>
  <c r="BD43" i="1"/>
  <c r="BD44" i="1"/>
  <c r="BD21" i="1"/>
  <c r="P23" i="3"/>
  <c r="P24" i="3"/>
  <c r="T20" i="3"/>
  <c r="U20" i="3"/>
  <c r="S20" i="3"/>
  <c r="M20" i="3"/>
  <c r="N20" i="3"/>
  <c r="F20" i="3"/>
  <c r="G20" i="3"/>
  <c r="H20" i="3"/>
  <c r="I20" i="3"/>
  <c r="J20" i="3"/>
  <c r="K20" i="3"/>
  <c r="L20" i="3"/>
  <c r="E20" i="3"/>
  <c r="E23" i="3"/>
  <c r="E24" i="3"/>
  <c r="E25" i="3"/>
  <c r="U22" i="2"/>
  <c r="X22" i="2"/>
  <c r="AD22" i="2" s="1"/>
  <c r="Y22" i="2"/>
  <c r="U23" i="2"/>
  <c r="X23" i="2"/>
  <c r="Y23" i="2"/>
  <c r="U24" i="2"/>
  <c r="X24" i="2"/>
  <c r="Y24" i="2"/>
  <c r="U25" i="2"/>
  <c r="X25" i="2"/>
  <c r="Y25" i="2"/>
  <c r="U26" i="2"/>
  <c r="X26" i="2"/>
  <c r="Y26" i="2"/>
  <c r="U27" i="2"/>
  <c r="X27" i="2"/>
  <c r="Y27" i="2"/>
  <c r="U28" i="2"/>
  <c r="X28" i="2"/>
  <c r="Y28" i="2"/>
  <c r="U29" i="2"/>
  <c r="X29" i="2"/>
  <c r="Y29" i="2"/>
  <c r="U30" i="2"/>
  <c r="X30" i="2"/>
  <c r="Y30" i="2"/>
  <c r="U31" i="2"/>
  <c r="X31" i="2"/>
  <c r="Y31" i="2"/>
  <c r="U32" i="2"/>
  <c r="X32" i="2"/>
  <c r="Y32" i="2"/>
  <c r="U33" i="2"/>
  <c r="X33" i="2"/>
  <c r="Y33" i="2"/>
  <c r="U34" i="2"/>
  <c r="X34" i="2"/>
  <c r="Y34" i="2"/>
  <c r="U35" i="2"/>
  <c r="X35" i="2"/>
  <c r="Y35" i="2"/>
  <c r="AD35" i="2" s="1"/>
  <c r="U36" i="2"/>
  <c r="X36" i="2"/>
  <c r="Y36" i="2"/>
  <c r="U37" i="2"/>
  <c r="X37" i="2"/>
  <c r="Y37" i="2"/>
  <c r="U38" i="2"/>
  <c r="X38" i="2"/>
  <c r="Y38" i="2"/>
  <c r="U39" i="2"/>
  <c r="X39" i="2"/>
  <c r="Y39" i="2"/>
  <c r="U40" i="2"/>
  <c r="X40" i="2"/>
  <c r="Y40" i="2"/>
  <c r="U41" i="2"/>
  <c r="X41" i="2"/>
  <c r="Y41" i="2"/>
  <c r="U42" i="2"/>
  <c r="X42" i="2"/>
  <c r="Y42" i="2"/>
  <c r="U43" i="2"/>
  <c r="X43" i="2"/>
  <c r="AF43" i="2" s="1"/>
  <c r="Y43" i="2"/>
  <c r="U44" i="2"/>
  <c r="X44" i="2"/>
  <c r="Y44" i="2"/>
  <c r="X21" i="2"/>
  <c r="Y21" i="2"/>
  <c r="U21" i="2"/>
  <c r="E22" i="2"/>
  <c r="E22" i="3" s="1"/>
  <c r="F22" i="2"/>
  <c r="G22" i="2"/>
  <c r="H22" i="2"/>
  <c r="I22" i="2"/>
  <c r="J22" i="2"/>
  <c r="K22" i="2"/>
  <c r="L22" i="2"/>
  <c r="M22" i="2"/>
  <c r="N22" i="2"/>
  <c r="P22" i="3" s="1"/>
  <c r="E23" i="2"/>
  <c r="F23" i="2"/>
  <c r="G23" i="2"/>
  <c r="H23" i="2"/>
  <c r="I23" i="2"/>
  <c r="J23" i="2"/>
  <c r="K23" i="2"/>
  <c r="L23" i="2"/>
  <c r="M23" i="2"/>
  <c r="N23" i="2"/>
  <c r="E24" i="2"/>
  <c r="F24" i="2"/>
  <c r="G24" i="2"/>
  <c r="H24" i="2"/>
  <c r="I24" i="2"/>
  <c r="J24" i="2"/>
  <c r="K24" i="2"/>
  <c r="L24" i="2"/>
  <c r="M24" i="2"/>
  <c r="N24" i="2"/>
  <c r="E25" i="2"/>
  <c r="F25" i="2"/>
  <c r="G25" i="2"/>
  <c r="H25" i="2"/>
  <c r="I25" i="2"/>
  <c r="J25" i="2"/>
  <c r="K25" i="2"/>
  <c r="L25" i="2"/>
  <c r="M25" i="2"/>
  <c r="N25" i="2"/>
  <c r="P25" i="3" s="1"/>
  <c r="E26" i="2"/>
  <c r="E26" i="3" s="1"/>
  <c r="F26" i="2"/>
  <c r="G26" i="2"/>
  <c r="H26" i="2"/>
  <c r="I26" i="2"/>
  <c r="J26" i="2"/>
  <c r="K26" i="2"/>
  <c r="L26" i="2"/>
  <c r="M26" i="2"/>
  <c r="N26" i="2"/>
  <c r="P26" i="3" s="1"/>
  <c r="E27" i="2"/>
  <c r="E27" i="3" s="1"/>
  <c r="F27" i="2"/>
  <c r="G27" i="2"/>
  <c r="H27" i="2"/>
  <c r="I27" i="2"/>
  <c r="J27" i="2"/>
  <c r="K27" i="2"/>
  <c r="L27" i="2"/>
  <c r="M27" i="2"/>
  <c r="N27" i="2"/>
  <c r="P27" i="3" s="1"/>
  <c r="E28" i="2"/>
  <c r="E28" i="3" s="1"/>
  <c r="F28" i="2"/>
  <c r="G28" i="2"/>
  <c r="H28" i="2"/>
  <c r="I28" i="2"/>
  <c r="J28" i="2"/>
  <c r="K28" i="2"/>
  <c r="L28" i="2"/>
  <c r="M28" i="2"/>
  <c r="N28" i="2"/>
  <c r="P28" i="3" s="1"/>
  <c r="E29" i="2"/>
  <c r="E29" i="3" s="1"/>
  <c r="F29" i="2"/>
  <c r="G29" i="2"/>
  <c r="H29" i="2"/>
  <c r="I29" i="2"/>
  <c r="J29" i="2"/>
  <c r="K29" i="2"/>
  <c r="L29" i="2"/>
  <c r="M29" i="2"/>
  <c r="N29" i="2"/>
  <c r="P29" i="3" s="1"/>
  <c r="E30" i="2"/>
  <c r="E30" i="3" s="1"/>
  <c r="F30" i="2"/>
  <c r="G30" i="2"/>
  <c r="H30" i="2"/>
  <c r="I30" i="2"/>
  <c r="J30" i="2"/>
  <c r="K30" i="2"/>
  <c r="L30" i="2"/>
  <c r="M30" i="2"/>
  <c r="N30" i="2"/>
  <c r="P30" i="3" s="1"/>
  <c r="E31" i="2"/>
  <c r="E31" i="3" s="1"/>
  <c r="F31" i="2"/>
  <c r="G31" i="2"/>
  <c r="H31" i="2"/>
  <c r="I31" i="2"/>
  <c r="J31" i="2"/>
  <c r="K31" i="2"/>
  <c r="L31" i="2"/>
  <c r="M31" i="2"/>
  <c r="N31" i="2"/>
  <c r="P31" i="3" s="1"/>
  <c r="E32" i="2"/>
  <c r="E32" i="3" s="1"/>
  <c r="F32" i="2"/>
  <c r="G32" i="2"/>
  <c r="H32" i="2"/>
  <c r="I32" i="2"/>
  <c r="J32" i="2"/>
  <c r="AC32" i="2" s="1"/>
  <c r="K32" i="2"/>
  <c r="L32" i="2"/>
  <c r="M32" i="2"/>
  <c r="N32" i="2"/>
  <c r="P32" i="3" s="1"/>
  <c r="E33" i="2"/>
  <c r="E33" i="3" s="1"/>
  <c r="F33" i="2"/>
  <c r="G33" i="2"/>
  <c r="H33" i="2"/>
  <c r="I33" i="2"/>
  <c r="J33" i="2"/>
  <c r="K33" i="2"/>
  <c r="L33" i="2"/>
  <c r="M33" i="2"/>
  <c r="N33" i="2"/>
  <c r="P33" i="3" s="1"/>
  <c r="E34" i="2"/>
  <c r="E34" i="3" s="1"/>
  <c r="F34" i="2"/>
  <c r="G34" i="2"/>
  <c r="H34" i="2"/>
  <c r="I34" i="2"/>
  <c r="J34" i="2"/>
  <c r="K34" i="2"/>
  <c r="L34" i="2"/>
  <c r="M34" i="2"/>
  <c r="N34" i="2"/>
  <c r="P34" i="3" s="1"/>
  <c r="E35" i="2"/>
  <c r="E35" i="3" s="1"/>
  <c r="F35" i="2"/>
  <c r="G35" i="2"/>
  <c r="H35" i="2"/>
  <c r="I35" i="2"/>
  <c r="J35" i="2"/>
  <c r="K35" i="2"/>
  <c r="L35" i="2"/>
  <c r="M35" i="2"/>
  <c r="N35" i="2"/>
  <c r="P35" i="3" s="1"/>
  <c r="E36" i="2"/>
  <c r="E36" i="3" s="1"/>
  <c r="F36" i="2"/>
  <c r="G36" i="2"/>
  <c r="H36" i="2"/>
  <c r="I36" i="2"/>
  <c r="J36" i="2"/>
  <c r="K36" i="2"/>
  <c r="L36" i="2"/>
  <c r="M36" i="2"/>
  <c r="N36" i="2"/>
  <c r="P36" i="3" s="1"/>
  <c r="E37" i="2"/>
  <c r="E37" i="3" s="1"/>
  <c r="F37" i="2"/>
  <c r="G37" i="2"/>
  <c r="H37" i="2"/>
  <c r="I37" i="2"/>
  <c r="J37" i="2"/>
  <c r="K37" i="2"/>
  <c r="L37" i="2"/>
  <c r="M37" i="2"/>
  <c r="N37" i="2"/>
  <c r="P37" i="3" s="1"/>
  <c r="E38" i="2"/>
  <c r="E38" i="3" s="1"/>
  <c r="F38" i="2"/>
  <c r="G38" i="2"/>
  <c r="H38" i="2"/>
  <c r="I38" i="2"/>
  <c r="J38" i="2"/>
  <c r="K38" i="2"/>
  <c r="L38" i="2"/>
  <c r="M38" i="2"/>
  <c r="N38" i="2"/>
  <c r="P38" i="3" s="1"/>
  <c r="E39" i="2"/>
  <c r="E39" i="3" s="1"/>
  <c r="F39" i="2"/>
  <c r="G39" i="2"/>
  <c r="H39" i="2"/>
  <c r="I39" i="2"/>
  <c r="J39" i="2"/>
  <c r="K39" i="2"/>
  <c r="L39" i="2"/>
  <c r="M39" i="2"/>
  <c r="N39" i="2"/>
  <c r="P39" i="3" s="1"/>
  <c r="E40" i="2"/>
  <c r="E40" i="3" s="1"/>
  <c r="F40" i="2"/>
  <c r="G40" i="2"/>
  <c r="H40" i="2"/>
  <c r="I40" i="2"/>
  <c r="J40" i="2"/>
  <c r="K40" i="2"/>
  <c r="L40" i="2"/>
  <c r="M40" i="2"/>
  <c r="N40" i="2"/>
  <c r="P40" i="3" s="1"/>
  <c r="E41" i="2"/>
  <c r="E41" i="3" s="1"/>
  <c r="F41" i="2"/>
  <c r="G41" i="2"/>
  <c r="H41" i="2"/>
  <c r="I41" i="2"/>
  <c r="J41" i="2"/>
  <c r="K41" i="2"/>
  <c r="L41" i="2"/>
  <c r="M41" i="2"/>
  <c r="N41" i="2"/>
  <c r="P41" i="3" s="1"/>
  <c r="E42" i="2"/>
  <c r="E42" i="3" s="1"/>
  <c r="F42" i="2"/>
  <c r="G42" i="2"/>
  <c r="H42" i="2"/>
  <c r="I42" i="2"/>
  <c r="J42" i="2"/>
  <c r="K42" i="2"/>
  <c r="L42" i="2"/>
  <c r="M42" i="2"/>
  <c r="N42" i="2"/>
  <c r="P42" i="3" s="1"/>
  <c r="E43" i="2"/>
  <c r="E43" i="3" s="1"/>
  <c r="F43" i="2"/>
  <c r="G43" i="2"/>
  <c r="H43" i="2"/>
  <c r="I43" i="2"/>
  <c r="J43" i="2"/>
  <c r="K43" i="2"/>
  <c r="L43" i="2"/>
  <c r="M43" i="2"/>
  <c r="N43" i="2"/>
  <c r="P43" i="3" s="1"/>
  <c r="E44" i="2"/>
  <c r="E44" i="3" s="1"/>
  <c r="F44" i="2"/>
  <c r="G44" i="2"/>
  <c r="H44" i="2"/>
  <c r="I44" i="2"/>
  <c r="J44" i="2"/>
  <c r="K44" i="2"/>
  <c r="L44" i="2"/>
  <c r="M44" i="2"/>
  <c r="N44" i="2"/>
  <c r="P44" i="3" s="1"/>
  <c r="F21" i="2"/>
  <c r="G21" i="2"/>
  <c r="H21" i="2"/>
  <c r="I21" i="2"/>
  <c r="J21" i="2"/>
  <c r="K21" i="2"/>
  <c r="L21" i="2"/>
  <c r="M21" i="2"/>
  <c r="N21" i="2"/>
  <c r="P21" i="3" s="1"/>
  <c r="E21" i="2"/>
  <c r="E21" i="3" s="1"/>
  <c r="B65" i="2"/>
  <c r="B56" i="2"/>
  <c r="X16" i="2" s="1"/>
  <c r="Y16" i="2" s="1"/>
  <c r="B55" i="2"/>
  <c r="AF42" i="2" s="1"/>
  <c r="B54" i="2"/>
  <c r="B53" i="2"/>
  <c r="B52" i="2"/>
  <c r="B51" i="2"/>
  <c r="B50" i="2"/>
  <c r="B49" i="2"/>
  <c r="B48" i="2"/>
  <c r="AQ29" i="2" s="1"/>
  <c r="B47" i="2"/>
  <c r="B46" i="2"/>
  <c r="B45" i="2"/>
  <c r="AO44" i="2"/>
  <c r="AM44" i="2"/>
  <c r="AL44" i="2"/>
  <c r="AK44" i="2"/>
  <c r="AJ44" i="2"/>
  <c r="AI44" i="2"/>
  <c r="B44" i="2"/>
  <c r="AO43" i="2"/>
  <c r="AM43" i="2"/>
  <c r="AL43" i="2"/>
  <c r="AK43" i="2"/>
  <c r="AJ43" i="2"/>
  <c r="AI43" i="2"/>
  <c r="AO42" i="2"/>
  <c r="AM42" i="2"/>
  <c r="AL42" i="2"/>
  <c r="AK42" i="2"/>
  <c r="AJ42" i="2"/>
  <c r="AI42" i="2"/>
  <c r="B42" i="2"/>
  <c r="AO41" i="2"/>
  <c r="AM41" i="2"/>
  <c r="AL41" i="2"/>
  <c r="AK41" i="2"/>
  <c r="AJ41" i="2"/>
  <c r="AI41" i="2"/>
  <c r="B41" i="2"/>
  <c r="I16" i="2" s="1"/>
  <c r="J16" i="2" s="1"/>
  <c r="AO40" i="2"/>
  <c r="AM40" i="2"/>
  <c r="AL40" i="2"/>
  <c r="AK40" i="2"/>
  <c r="AJ40" i="2"/>
  <c r="AI40" i="2"/>
  <c r="B40" i="2"/>
  <c r="AO39" i="2"/>
  <c r="AM39" i="2"/>
  <c r="AL39" i="2"/>
  <c r="AK39" i="2"/>
  <c r="AJ39" i="2"/>
  <c r="AI39" i="2"/>
  <c r="B39" i="2"/>
  <c r="AO38" i="2"/>
  <c r="AN38" i="2"/>
  <c r="AM38" i="2"/>
  <c r="AL38" i="2"/>
  <c r="AK38" i="2"/>
  <c r="AJ38" i="2"/>
  <c r="AI38" i="2"/>
  <c r="B38" i="2"/>
  <c r="AO37" i="2"/>
  <c r="AN37" i="2"/>
  <c r="AM37" i="2"/>
  <c r="AL37" i="2"/>
  <c r="AK37" i="2"/>
  <c r="AJ37" i="2"/>
  <c r="AI37" i="2"/>
  <c r="AC37" i="2" s="1"/>
  <c r="B37" i="2"/>
  <c r="AO36" i="2"/>
  <c r="AN36" i="2"/>
  <c r="AM36" i="2"/>
  <c r="AL36" i="2"/>
  <c r="AK36" i="2"/>
  <c r="AJ36" i="2"/>
  <c r="AI36" i="2"/>
  <c r="B36" i="2"/>
  <c r="AO35" i="2"/>
  <c r="AN35" i="2"/>
  <c r="AM35" i="2"/>
  <c r="AL35" i="2"/>
  <c r="AK35" i="2"/>
  <c r="AJ35" i="2"/>
  <c r="AI35" i="2"/>
  <c r="B35" i="2"/>
  <c r="AO34" i="2"/>
  <c r="AN34" i="2"/>
  <c r="AM34" i="2"/>
  <c r="AL34" i="2"/>
  <c r="AK34" i="2"/>
  <c r="AJ34" i="2"/>
  <c r="AI34" i="2"/>
  <c r="B34" i="2"/>
  <c r="AO33" i="2"/>
  <c r="AN33" i="2"/>
  <c r="AM33" i="2"/>
  <c r="AL33" i="2"/>
  <c r="AK33" i="2"/>
  <c r="AJ33" i="2"/>
  <c r="AI33" i="2"/>
  <c r="B33" i="2"/>
  <c r="AO32" i="2"/>
  <c r="AN32" i="2"/>
  <c r="AM32" i="2"/>
  <c r="AL32" i="2"/>
  <c r="AK32" i="2"/>
  <c r="AJ32" i="2"/>
  <c r="AI32" i="2"/>
  <c r="B32" i="2"/>
  <c r="AO31" i="2"/>
  <c r="AN31" i="2"/>
  <c r="AM31" i="2"/>
  <c r="AL31" i="2"/>
  <c r="AK31" i="2"/>
  <c r="AJ31" i="2"/>
  <c r="AQ31" i="2" s="1"/>
  <c r="AI31" i="2"/>
  <c r="B31" i="2"/>
  <c r="AO30" i="2"/>
  <c r="AN30" i="2"/>
  <c r="AM30" i="2"/>
  <c r="AL30" i="2"/>
  <c r="AK30" i="2"/>
  <c r="AR30" i="2" s="1"/>
  <c r="AJ30" i="2"/>
  <c r="AQ30" i="2" s="1"/>
  <c r="AI30" i="2"/>
  <c r="B30" i="2"/>
  <c r="E16" i="2" s="1"/>
  <c r="AO29" i="2"/>
  <c r="AN29" i="2"/>
  <c r="AM29" i="2"/>
  <c r="AL29" i="2"/>
  <c r="AK29" i="2"/>
  <c r="AJ29" i="2"/>
  <c r="AI29" i="2"/>
  <c r="B29" i="2"/>
  <c r="AO28" i="2"/>
  <c r="AN28" i="2"/>
  <c r="AM28" i="2"/>
  <c r="AL28" i="2"/>
  <c r="AK28" i="2"/>
  <c r="AJ28" i="2"/>
  <c r="AI28" i="2"/>
  <c r="B28" i="2"/>
  <c r="AO27" i="2"/>
  <c r="AN27" i="2"/>
  <c r="AM27" i="2"/>
  <c r="AL27" i="2"/>
  <c r="AK27" i="2"/>
  <c r="AJ27" i="2"/>
  <c r="AI27" i="2"/>
  <c r="AD27" i="2"/>
  <c r="B27" i="2"/>
  <c r="AO26" i="2"/>
  <c r="AM26" i="2"/>
  <c r="AL26" i="2"/>
  <c r="AK26" i="2"/>
  <c r="AJ26" i="2"/>
  <c r="AI26" i="2"/>
  <c r="AC26" i="2" s="1"/>
  <c r="AE26" i="2"/>
  <c r="B26" i="2"/>
  <c r="AO25" i="2"/>
  <c r="AM25" i="2"/>
  <c r="AL25" i="2"/>
  <c r="AK25" i="2"/>
  <c r="AJ25" i="2"/>
  <c r="AI25" i="2"/>
  <c r="B25" i="2"/>
  <c r="AO24" i="2"/>
  <c r="AM24" i="2"/>
  <c r="AL24" i="2"/>
  <c r="AK24" i="2"/>
  <c r="AJ24" i="2"/>
  <c r="AI24" i="2"/>
  <c r="AF24" i="2"/>
  <c r="AE24" i="2"/>
  <c r="B24" i="2"/>
  <c r="AO23" i="2"/>
  <c r="AM23" i="2"/>
  <c r="AL23" i="2"/>
  <c r="AK23" i="2"/>
  <c r="AJ23" i="2"/>
  <c r="AI23" i="2"/>
  <c r="AB23" i="2" s="1"/>
  <c r="AE23" i="2"/>
  <c r="B23" i="2"/>
  <c r="AO22" i="2"/>
  <c r="AM22" i="2"/>
  <c r="AL22" i="2"/>
  <c r="AK22" i="2"/>
  <c r="AJ22" i="2"/>
  <c r="AI22" i="2"/>
  <c r="AB22" i="2" s="1"/>
  <c r="B22" i="2"/>
  <c r="AO21" i="2"/>
  <c r="AM21" i="2"/>
  <c r="AL21" i="2"/>
  <c r="AK21" i="2"/>
  <c r="AJ21" i="2"/>
  <c r="AQ21" i="2" s="1"/>
  <c r="AI21" i="2"/>
  <c r="AE21" i="2"/>
  <c r="B21" i="2"/>
  <c r="AH18" i="2"/>
  <c r="AG18" i="2"/>
  <c r="AF18" i="2"/>
  <c r="AE18" i="2"/>
  <c r="AD18" i="2"/>
  <c r="AC18" i="2"/>
  <c r="AB18" i="2"/>
  <c r="E18" i="2"/>
  <c r="AE15" i="2"/>
  <c r="AE14" i="2"/>
  <c r="F21" i="1"/>
  <c r="G21" i="1"/>
  <c r="H21" i="1"/>
  <c r="H21" i="3" s="1"/>
  <c r="I21" i="1"/>
  <c r="J21" i="1"/>
  <c r="J21" i="3" s="1"/>
  <c r="K21" i="1"/>
  <c r="L21" i="1"/>
  <c r="L21" i="3" s="1"/>
  <c r="M21" i="1"/>
  <c r="N21" i="1"/>
  <c r="F22" i="1"/>
  <c r="G22" i="1"/>
  <c r="G22" i="3" s="1"/>
  <c r="H22" i="1"/>
  <c r="H22" i="3" s="1"/>
  <c r="I22" i="1"/>
  <c r="I22" i="3" s="1"/>
  <c r="J22" i="1"/>
  <c r="J22" i="3" s="1"/>
  <c r="K22" i="1"/>
  <c r="K22" i="3" s="1"/>
  <c r="L22" i="1"/>
  <c r="L22" i="3" s="1"/>
  <c r="M22" i="1"/>
  <c r="M22" i="3" s="1"/>
  <c r="N22" i="1"/>
  <c r="Q22" i="3" s="1"/>
  <c r="F23" i="1"/>
  <c r="G23" i="1"/>
  <c r="H23" i="1"/>
  <c r="H23" i="3" s="1"/>
  <c r="I23" i="1"/>
  <c r="I23" i="3" s="1"/>
  <c r="J23" i="1"/>
  <c r="J23" i="3" s="1"/>
  <c r="K23" i="1"/>
  <c r="L23" i="1"/>
  <c r="M23" i="1"/>
  <c r="N23" i="1"/>
  <c r="F24" i="1"/>
  <c r="G24" i="1"/>
  <c r="G24" i="3" s="1"/>
  <c r="H24" i="1"/>
  <c r="I24" i="1"/>
  <c r="I24" i="3" s="1"/>
  <c r="J24" i="1"/>
  <c r="K24" i="1"/>
  <c r="L24" i="1"/>
  <c r="M24" i="1"/>
  <c r="N24" i="1"/>
  <c r="F25" i="1"/>
  <c r="F25" i="3" s="1"/>
  <c r="G25" i="1"/>
  <c r="H25" i="1"/>
  <c r="I25" i="1"/>
  <c r="J25" i="1"/>
  <c r="K25" i="1"/>
  <c r="L25" i="1"/>
  <c r="M25" i="1"/>
  <c r="N25" i="1"/>
  <c r="Q25" i="3" s="1"/>
  <c r="F26" i="1"/>
  <c r="G26" i="1"/>
  <c r="G26" i="3" s="1"/>
  <c r="H26" i="1"/>
  <c r="I26" i="1"/>
  <c r="J26" i="1"/>
  <c r="K26" i="1"/>
  <c r="L26" i="1"/>
  <c r="M26" i="1"/>
  <c r="N26" i="1"/>
  <c r="Q26" i="3" s="1"/>
  <c r="F27" i="1"/>
  <c r="F27" i="3" s="1"/>
  <c r="G27" i="1"/>
  <c r="H27" i="1"/>
  <c r="I27" i="1"/>
  <c r="J27" i="1"/>
  <c r="J27" i="3" s="1"/>
  <c r="K27" i="1"/>
  <c r="L27" i="1"/>
  <c r="M27" i="1"/>
  <c r="M27" i="3" s="1"/>
  <c r="N27" i="1"/>
  <c r="N27" i="3" s="1"/>
  <c r="F28" i="1"/>
  <c r="G28" i="1"/>
  <c r="H28" i="1"/>
  <c r="H28" i="3" s="1"/>
  <c r="I28" i="1"/>
  <c r="I28" i="3" s="1"/>
  <c r="J28" i="1"/>
  <c r="K28" i="1"/>
  <c r="K28" i="3" s="1"/>
  <c r="L28" i="1"/>
  <c r="L28" i="3" s="1"/>
  <c r="M28" i="1"/>
  <c r="M28" i="3" s="1"/>
  <c r="N28" i="1"/>
  <c r="F29" i="1"/>
  <c r="F29" i="3" s="1"/>
  <c r="G29" i="1"/>
  <c r="G29" i="3" s="1"/>
  <c r="H29" i="1"/>
  <c r="H29" i="3" s="1"/>
  <c r="I29" i="1"/>
  <c r="I29" i="3" s="1"/>
  <c r="J29" i="1"/>
  <c r="J29" i="3" s="1"/>
  <c r="K29" i="1"/>
  <c r="K29" i="3" s="1"/>
  <c r="L29" i="1"/>
  <c r="L29" i="3" s="1"/>
  <c r="M29" i="1"/>
  <c r="N29" i="1"/>
  <c r="Q29" i="3" s="1"/>
  <c r="F30" i="1"/>
  <c r="G30" i="1"/>
  <c r="G30" i="3" s="1"/>
  <c r="H30" i="1"/>
  <c r="H30" i="3" s="1"/>
  <c r="I30" i="1"/>
  <c r="I30" i="3" s="1"/>
  <c r="J30" i="1"/>
  <c r="J30" i="3" s="1"/>
  <c r="K30" i="1"/>
  <c r="K30" i="3" s="1"/>
  <c r="L30" i="1"/>
  <c r="L30" i="3" s="1"/>
  <c r="M30" i="1"/>
  <c r="M30" i="3" s="1"/>
  <c r="N30" i="1"/>
  <c r="Q30" i="3" s="1"/>
  <c r="F31" i="1"/>
  <c r="G31" i="1"/>
  <c r="H31" i="1"/>
  <c r="H31" i="3" s="1"/>
  <c r="I31" i="1"/>
  <c r="I31" i="3" s="1"/>
  <c r="J31" i="1"/>
  <c r="J31" i="3" s="1"/>
  <c r="K31" i="1"/>
  <c r="L31" i="1"/>
  <c r="M31" i="1"/>
  <c r="N31" i="1"/>
  <c r="F32" i="1"/>
  <c r="G32" i="1"/>
  <c r="G32" i="3" s="1"/>
  <c r="H32" i="1"/>
  <c r="I32" i="1"/>
  <c r="I32" i="3" s="1"/>
  <c r="J32" i="1"/>
  <c r="K32" i="1"/>
  <c r="L32" i="1"/>
  <c r="M32" i="1"/>
  <c r="N32" i="1"/>
  <c r="F33" i="1"/>
  <c r="G33" i="1"/>
  <c r="H33" i="1"/>
  <c r="I33" i="1"/>
  <c r="J33" i="1"/>
  <c r="K33" i="1"/>
  <c r="L33" i="1"/>
  <c r="M33" i="1"/>
  <c r="N33" i="1"/>
  <c r="Q33" i="3" s="1"/>
  <c r="F34" i="1"/>
  <c r="G34" i="1"/>
  <c r="G34" i="3" s="1"/>
  <c r="H34" i="1"/>
  <c r="I34" i="1"/>
  <c r="J34" i="1"/>
  <c r="K34" i="1"/>
  <c r="L34" i="1"/>
  <c r="M34" i="1"/>
  <c r="N34" i="1"/>
  <c r="F35" i="1"/>
  <c r="F35" i="3" s="1"/>
  <c r="G35" i="1"/>
  <c r="H35" i="1"/>
  <c r="I35" i="1"/>
  <c r="J35" i="1"/>
  <c r="J35" i="3" s="1"/>
  <c r="K35" i="1"/>
  <c r="L35" i="1"/>
  <c r="M35" i="1"/>
  <c r="M35" i="3" s="1"/>
  <c r="N35" i="1"/>
  <c r="N35" i="3" s="1"/>
  <c r="F36" i="1"/>
  <c r="G36" i="1"/>
  <c r="H36" i="1"/>
  <c r="H36" i="3" s="1"/>
  <c r="I36" i="1"/>
  <c r="I36" i="3" s="1"/>
  <c r="J36" i="1"/>
  <c r="K36" i="1"/>
  <c r="K36" i="3" s="1"/>
  <c r="L36" i="1"/>
  <c r="L36" i="3" s="1"/>
  <c r="M36" i="1"/>
  <c r="M36" i="3" s="1"/>
  <c r="N36" i="1"/>
  <c r="F37" i="1"/>
  <c r="F37" i="3" s="1"/>
  <c r="G37" i="1"/>
  <c r="G37" i="3" s="1"/>
  <c r="H37" i="1"/>
  <c r="H37" i="3" s="1"/>
  <c r="I37" i="1"/>
  <c r="J37" i="1"/>
  <c r="J37" i="3" s="1"/>
  <c r="K37" i="1"/>
  <c r="K37" i="3" s="1"/>
  <c r="L37" i="1"/>
  <c r="L37" i="3" s="1"/>
  <c r="M37" i="1"/>
  <c r="N37" i="1"/>
  <c r="Q37" i="3" s="1"/>
  <c r="F38" i="1"/>
  <c r="G38" i="1"/>
  <c r="G38" i="3" s="1"/>
  <c r="H38" i="1"/>
  <c r="H38" i="3" s="1"/>
  <c r="I38" i="1"/>
  <c r="I38" i="3" s="1"/>
  <c r="J38" i="1"/>
  <c r="J38" i="3" s="1"/>
  <c r="K38" i="1"/>
  <c r="K38" i="3" s="1"/>
  <c r="L38" i="1"/>
  <c r="M38" i="1"/>
  <c r="M38" i="3" s="1"/>
  <c r="N38" i="1"/>
  <c r="F39" i="1"/>
  <c r="G39" i="1"/>
  <c r="H39" i="1"/>
  <c r="H39" i="3" s="1"/>
  <c r="I39" i="1"/>
  <c r="I39" i="3" s="1"/>
  <c r="J39" i="1"/>
  <c r="K39" i="1"/>
  <c r="L39" i="1"/>
  <c r="M39" i="1"/>
  <c r="N39" i="1"/>
  <c r="F40" i="1"/>
  <c r="G40" i="1"/>
  <c r="G40" i="3" s="1"/>
  <c r="H40" i="1"/>
  <c r="I40" i="1"/>
  <c r="I40" i="3" s="1"/>
  <c r="J40" i="1"/>
  <c r="K40" i="1"/>
  <c r="L40" i="1"/>
  <c r="M40" i="1"/>
  <c r="N40" i="1"/>
  <c r="F41" i="1"/>
  <c r="G41" i="1"/>
  <c r="H41" i="1"/>
  <c r="I41" i="1"/>
  <c r="J41" i="1"/>
  <c r="K41" i="1"/>
  <c r="L41" i="1"/>
  <c r="M41" i="1"/>
  <c r="N41" i="1"/>
  <c r="Q41" i="3" s="1"/>
  <c r="F42" i="1"/>
  <c r="G42" i="1"/>
  <c r="G42" i="3" s="1"/>
  <c r="H42" i="1"/>
  <c r="I42" i="1"/>
  <c r="J42" i="1"/>
  <c r="K42" i="1"/>
  <c r="L42" i="1"/>
  <c r="M42" i="1"/>
  <c r="N42" i="1"/>
  <c r="F43" i="1"/>
  <c r="F43" i="3" s="1"/>
  <c r="G43" i="1"/>
  <c r="H43" i="1"/>
  <c r="I43" i="1"/>
  <c r="J43" i="1"/>
  <c r="J43" i="3" s="1"/>
  <c r="K43" i="1"/>
  <c r="L43" i="1"/>
  <c r="M43" i="1"/>
  <c r="N43" i="1"/>
  <c r="N43" i="3" s="1"/>
  <c r="F44" i="1"/>
  <c r="G44" i="1"/>
  <c r="H44" i="1"/>
  <c r="H44" i="3" s="1"/>
  <c r="I44" i="1"/>
  <c r="I44" i="3" s="1"/>
  <c r="J44" i="1"/>
  <c r="K44" i="1"/>
  <c r="K44" i="3" s="1"/>
  <c r="L44" i="1"/>
  <c r="L44" i="3" s="1"/>
  <c r="M44" i="1"/>
  <c r="M44" i="3" s="1"/>
  <c r="N44" i="1"/>
  <c r="U21" i="1"/>
  <c r="S21" i="3" s="1"/>
  <c r="X21" i="1"/>
  <c r="Y21" i="1"/>
  <c r="U22" i="1"/>
  <c r="S22" i="3" s="1"/>
  <c r="X22" i="1"/>
  <c r="Y22" i="1"/>
  <c r="U22" i="3" s="1"/>
  <c r="U23" i="1"/>
  <c r="S23" i="3" s="1"/>
  <c r="X23" i="1"/>
  <c r="Y23" i="1"/>
  <c r="U24" i="1"/>
  <c r="X24" i="1"/>
  <c r="T24" i="3" s="1"/>
  <c r="Y24" i="1"/>
  <c r="U24" i="3" s="1"/>
  <c r="U25" i="1"/>
  <c r="X25" i="1"/>
  <c r="T25" i="3" s="1"/>
  <c r="Y25" i="1"/>
  <c r="U25" i="3" s="1"/>
  <c r="U26" i="1"/>
  <c r="X26" i="1"/>
  <c r="Y26" i="1"/>
  <c r="U27" i="1"/>
  <c r="S27" i="3" s="1"/>
  <c r="X27" i="1"/>
  <c r="T27" i="3" s="1"/>
  <c r="Y27" i="1"/>
  <c r="U28" i="1"/>
  <c r="S28" i="3" s="1"/>
  <c r="X28" i="1"/>
  <c r="T28" i="3" s="1"/>
  <c r="Y28" i="1"/>
  <c r="U29" i="1"/>
  <c r="X29" i="1"/>
  <c r="Y29" i="1"/>
  <c r="U29" i="3" s="1"/>
  <c r="U30" i="1"/>
  <c r="S30" i="3" s="1"/>
  <c r="X30" i="1"/>
  <c r="Y30" i="1"/>
  <c r="U30" i="3" s="1"/>
  <c r="U31" i="1"/>
  <c r="S31" i="3" s="1"/>
  <c r="X31" i="1"/>
  <c r="Y31" i="1"/>
  <c r="U32" i="1"/>
  <c r="X32" i="1"/>
  <c r="T32" i="3" s="1"/>
  <c r="Y32" i="1"/>
  <c r="U32" i="3" s="1"/>
  <c r="U33" i="1"/>
  <c r="X33" i="1"/>
  <c r="T33" i="3" s="1"/>
  <c r="Y33" i="1"/>
  <c r="U33" i="3" s="1"/>
  <c r="U34" i="1"/>
  <c r="X34" i="1"/>
  <c r="Y34" i="1"/>
  <c r="U35" i="1"/>
  <c r="S35" i="3" s="1"/>
  <c r="X35" i="1"/>
  <c r="T35" i="3" s="1"/>
  <c r="Y35" i="1"/>
  <c r="U36" i="1"/>
  <c r="S36" i="3" s="1"/>
  <c r="X36" i="1"/>
  <c r="T36" i="3" s="1"/>
  <c r="Y36" i="1"/>
  <c r="U37" i="1"/>
  <c r="X37" i="1"/>
  <c r="Y37" i="1"/>
  <c r="U37" i="3" s="1"/>
  <c r="U38" i="1"/>
  <c r="S38" i="3" s="1"/>
  <c r="X38" i="1"/>
  <c r="Y38" i="1"/>
  <c r="U38" i="3" s="1"/>
  <c r="U39" i="1"/>
  <c r="S39" i="3" s="1"/>
  <c r="X39" i="1"/>
  <c r="Y39" i="1"/>
  <c r="U40" i="1"/>
  <c r="X40" i="1"/>
  <c r="T40" i="3" s="1"/>
  <c r="Y40" i="1"/>
  <c r="U40" i="3" s="1"/>
  <c r="U41" i="1"/>
  <c r="X41" i="1"/>
  <c r="T41" i="3" s="1"/>
  <c r="Y41" i="1"/>
  <c r="U41" i="3" s="1"/>
  <c r="U42" i="1"/>
  <c r="X42" i="1"/>
  <c r="Y42" i="1"/>
  <c r="U43" i="1"/>
  <c r="S43" i="3" s="1"/>
  <c r="X43" i="1"/>
  <c r="T43" i="3" s="1"/>
  <c r="Y43" i="1"/>
  <c r="U44" i="1"/>
  <c r="S44" i="3" s="1"/>
  <c r="X44" i="1"/>
  <c r="T44" i="3" s="1"/>
  <c r="Y44" i="1"/>
  <c r="AE14" i="1"/>
  <c r="AE15" i="1"/>
  <c r="F22" i="3" l="1"/>
  <c r="AH29" i="2"/>
  <c r="L23" i="3"/>
  <c r="F38" i="3"/>
  <c r="AB32" i="2"/>
  <c r="J40" i="3"/>
  <c r="K39" i="3"/>
  <c r="L38" i="3"/>
  <c r="J32" i="3"/>
  <c r="K31" i="3"/>
  <c r="J24" i="3"/>
  <c r="K23" i="3"/>
  <c r="AC35" i="2"/>
  <c r="N38" i="3"/>
  <c r="L39" i="3"/>
  <c r="H41" i="3"/>
  <c r="H33" i="3"/>
  <c r="H25" i="3"/>
  <c r="N42" i="3"/>
  <c r="F42" i="3"/>
  <c r="N34" i="3"/>
  <c r="F34" i="3"/>
  <c r="G33" i="3"/>
  <c r="F26" i="3"/>
  <c r="G25" i="3"/>
  <c r="F30" i="3"/>
  <c r="L31" i="3"/>
  <c r="S41" i="3"/>
  <c r="U35" i="3"/>
  <c r="T30" i="3"/>
  <c r="U27" i="3"/>
  <c r="S25" i="3"/>
  <c r="T22" i="3"/>
  <c r="L43" i="3"/>
  <c r="M42" i="3"/>
  <c r="L35" i="3"/>
  <c r="M34" i="3"/>
  <c r="L27" i="3"/>
  <c r="M26" i="3"/>
  <c r="Z40" i="2"/>
  <c r="AB24" i="2"/>
  <c r="AB26" i="2"/>
  <c r="U43" i="3"/>
  <c r="T38" i="3"/>
  <c r="S33" i="3"/>
  <c r="J44" i="3"/>
  <c r="J36" i="3"/>
  <c r="J28" i="3"/>
  <c r="K27" i="3"/>
  <c r="G19" i="2"/>
  <c r="AE38" i="2"/>
  <c r="AF29" i="2"/>
  <c r="M43" i="3"/>
  <c r="G41" i="3"/>
  <c r="H40" i="3"/>
  <c r="H32" i="3"/>
  <c r="H24" i="3"/>
  <c r="J39" i="3"/>
  <c r="F33" i="3"/>
  <c r="AB43" i="2"/>
  <c r="F41" i="3"/>
  <c r="K43" i="3"/>
  <c r="L42" i="3"/>
  <c r="I37" i="3"/>
  <c r="K35" i="3"/>
  <c r="L34" i="3"/>
  <c r="L26" i="3"/>
  <c r="I21" i="3"/>
  <c r="AH27" i="2"/>
  <c r="AC40" i="2"/>
  <c r="G21" i="3"/>
  <c r="B59" i="2"/>
  <c r="B61" i="2" s="1"/>
  <c r="AR31" i="2"/>
  <c r="AF34" i="2"/>
  <c r="AB39" i="2"/>
  <c r="AR29" i="2"/>
  <c r="AC44" i="2"/>
  <c r="AA39" i="2"/>
  <c r="AE43" i="2"/>
  <c r="AH31" i="2"/>
  <c r="AR21" i="2"/>
  <c r="AH25" i="2"/>
  <c r="AB27" i="2"/>
  <c r="AH33" i="2"/>
  <c r="Z34" i="2"/>
  <c r="AC34" i="2"/>
  <c r="I17" i="2"/>
  <c r="I15" i="2" s="1"/>
  <c r="AE40" i="2"/>
  <c r="AE32" i="2"/>
  <c r="AD24" i="2"/>
  <c r="AB40" i="2"/>
  <c r="AB36" i="2"/>
  <c r="AB28" i="2"/>
  <c r="AD29" i="2"/>
  <c r="AQ39" i="2"/>
  <c r="AE28" i="2"/>
  <c r="AH22" i="2"/>
  <c r="AH23" i="2"/>
  <c r="AH32" i="2"/>
  <c r="AR39" i="2"/>
  <c r="AF27" i="2"/>
  <c r="K19" i="2"/>
  <c r="Z42" i="2"/>
  <c r="AA40" i="2"/>
  <c r="AB35" i="2"/>
  <c r="AC29" i="2"/>
  <c r="AA28" i="2"/>
  <c r="AC25" i="2"/>
  <c r="AA24" i="2"/>
  <c r="AD23" i="2"/>
  <c r="AH26" i="2"/>
  <c r="AD41" i="2"/>
  <c r="F16" i="2"/>
  <c r="AC41" i="2"/>
  <c r="AC33" i="2"/>
  <c r="Z30" i="2"/>
  <c r="Z22" i="2"/>
  <c r="AC43" i="2"/>
  <c r="E19" i="2"/>
  <c r="AH21" i="2"/>
  <c r="Z26" i="2"/>
  <c r="AC24" i="2"/>
  <c r="AB31" i="2"/>
  <c r="AH39" i="2"/>
  <c r="Z25" i="2"/>
  <c r="AB44" i="2"/>
  <c r="Z43" i="2"/>
  <c r="AC42" i="2"/>
  <c r="Z35" i="2"/>
  <c r="Z31" i="2"/>
  <c r="AA29" i="2"/>
  <c r="Z27" i="2"/>
  <c r="AA25" i="2"/>
  <c r="AC22" i="2"/>
  <c r="Z21" i="2"/>
  <c r="AF21" i="2"/>
  <c r="AD21" i="2"/>
  <c r="AD37" i="2"/>
  <c r="AE37" i="2"/>
  <c r="AF26" i="2"/>
  <c r="AH24" i="2"/>
  <c r="AC38" i="2"/>
  <c r="AB38" i="2"/>
  <c r="AQ40" i="2"/>
  <c r="AR40" i="2"/>
  <c r="Z24" i="2"/>
  <c r="AF44" i="2"/>
  <c r="AE44" i="2"/>
  <c r="AD42" i="2"/>
  <c r="M41" i="3"/>
  <c r="G39" i="3"/>
  <c r="M33" i="3"/>
  <c r="G23" i="3"/>
  <c r="AF41" i="2"/>
  <c r="AF28" i="2"/>
  <c r="M32" i="3"/>
  <c r="AF31" i="2"/>
  <c r="N40" i="3"/>
  <c r="N32" i="3"/>
  <c r="N24" i="3"/>
  <c r="AG36" i="2"/>
  <c r="AD31" i="2"/>
  <c r="L41" i="3"/>
  <c r="N39" i="3"/>
  <c r="K34" i="3"/>
  <c r="F31" i="3"/>
  <c r="L25" i="3"/>
  <c r="N23" i="3"/>
  <c r="AG32" i="2"/>
  <c r="AD38" i="2"/>
  <c r="U42" i="3"/>
  <c r="S40" i="3"/>
  <c r="T37" i="3"/>
  <c r="U34" i="3"/>
  <c r="S32" i="3"/>
  <c r="T29" i="3"/>
  <c r="U26" i="3"/>
  <c r="S24" i="3"/>
  <c r="T21" i="3"/>
  <c r="I43" i="3"/>
  <c r="J42" i="3"/>
  <c r="K41" i="3"/>
  <c r="L40" i="3"/>
  <c r="M39" i="3"/>
  <c r="I35" i="3"/>
  <c r="J34" i="3"/>
  <c r="K33" i="3"/>
  <c r="L32" i="3"/>
  <c r="M31" i="3"/>
  <c r="I27" i="3"/>
  <c r="J26" i="3"/>
  <c r="K25" i="3"/>
  <c r="L24" i="3"/>
  <c r="M23" i="3"/>
  <c r="E17" i="2"/>
  <c r="E15" i="2" s="1"/>
  <c r="AB21" i="2"/>
  <c r="AC28" i="2"/>
  <c r="AE30" i="2"/>
  <c r="AC30" i="2"/>
  <c r="AF32" i="2"/>
  <c r="AH42" i="2"/>
  <c r="AE35" i="2"/>
  <c r="AF37" i="2"/>
  <c r="AB41" i="2"/>
  <c r="AF39" i="2"/>
  <c r="AD26" i="2"/>
  <c r="G31" i="3"/>
  <c r="AD39" i="2"/>
  <c r="AA33" i="2"/>
  <c r="AF25" i="2"/>
  <c r="U21" i="3"/>
  <c r="K42" i="3"/>
  <c r="F39" i="3"/>
  <c r="L33" i="3"/>
  <c r="K26" i="3"/>
  <c r="F23" i="3"/>
  <c r="AE36" i="2"/>
  <c r="T42" i="3"/>
  <c r="U39" i="3"/>
  <c r="S37" i="3"/>
  <c r="T34" i="3"/>
  <c r="U31" i="3"/>
  <c r="S29" i="3"/>
  <c r="T26" i="3"/>
  <c r="U23" i="3"/>
  <c r="G44" i="3"/>
  <c r="H43" i="3"/>
  <c r="I42" i="3"/>
  <c r="J41" i="3"/>
  <c r="K40" i="3"/>
  <c r="G36" i="3"/>
  <c r="H35" i="3"/>
  <c r="I34" i="3"/>
  <c r="J33" i="3"/>
  <c r="K32" i="3"/>
  <c r="G28" i="3"/>
  <c r="H27" i="3"/>
  <c r="I26" i="3"/>
  <c r="J25" i="3"/>
  <c r="K24" i="3"/>
  <c r="N21" i="3"/>
  <c r="F21" i="3"/>
  <c r="AE22" i="2"/>
  <c r="AE27" i="2"/>
  <c r="AF30" i="2"/>
  <c r="AF35" i="2"/>
  <c r="AB42" i="2"/>
  <c r="AD34" i="2"/>
  <c r="Z23" i="2"/>
  <c r="F40" i="3"/>
  <c r="F32" i="3"/>
  <c r="M25" i="3"/>
  <c r="F24" i="3"/>
  <c r="AF36" i="2"/>
  <c r="M40" i="3"/>
  <c r="N31" i="3"/>
  <c r="M24" i="3"/>
  <c r="U44" i="3"/>
  <c r="S42" i="3"/>
  <c r="T39" i="3"/>
  <c r="U36" i="3"/>
  <c r="S34" i="3"/>
  <c r="T31" i="3"/>
  <c r="U28" i="3"/>
  <c r="S26" i="3"/>
  <c r="T23" i="3"/>
  <c r="N44" i="3"/>
  <c r="F44" i="3"/>
  <c r="G43" i="3"/>
  <c r="H42" i="3"/>
  <c r="I41" i="3"/>
  <c r="M37" i="3"/>
  <c r="N36" i="3"/>
  <c r="F36" i="3"/>
  <c r="G35" i="3"/>
  <c r="H34" i="3"/>
  <c r="I33" i="3"/>
  <c r="M29" i="3"/>
  <c r="N28" i="3"/>
  <c r="F28" i="3"/>
  <c r="G27" i="3"/>
  <c r="H26" i="3"/>
  <c r="I25" i="3"/>
  <c r="M21" i="3"/>
  <c r="AF22" i="2"/>
  <c r="AD25" i="2"/>
  <c r="AE33" i="2"/>
  <c r="AH36" i="2"/>
  <c r="AA43" i="2"/>
  <c r="AA42" i="2"/>
  <c r="Z37" i="2"/>
  <c r="AA35" i="2"/>
  <c r="AA34" i="2"/>
  <c r="AB33" i="2"/>
  <c r="AC31" i="2"/>
  <c r="AA30" i="2"/>
  <c r="AB29" i="2"/>
  <c r="AC27" i="2"/>
  <c r="AA26" i="2"/>
  <c r="AB25" i="2"/>
  <c r="H17" i="2"/>
  <c r="AA22" i="2"/>
  <c r="AD43" i="2"/>
  <c r="AF40" i="2"/>
  <c r="Q21" i="3"/>
  <c r="N41" i="3"/>
  <c r="N37" i="3"/>
  <c r="N33" i="3"/>
  <c r="N29" i="3"/>
  <c r="Q28" i="3"/>
  <c r="N25" i="3"/>
  <c r="Q32" i="3"/>
  <c r="Q42" i="3"/>
  <c r="Q38" i="3"/>
  <c r="Q34" i="3"/>
  <c r="N30" i="3"/>
  <c r="N26" i="3"/>
  <c r="N22" i="3"/>
  <c r="Q24" i="3"/>
  <c r="Q44" i="3"/>
  <c r="Q40" i="3"/>
  <c r="Q36" i="3"/>
  <c r="Q31" i="3"/>
  <c r="Q27" i="3"/>
  <c r="Q23" i="3"/>
  <c r="Q43" i="3"/>
  <c r="Q39" i="3"/>
  <c r="Q35" i="3"/>
  <c r="K21" i="3"/>
  <c r="AA23" i="2"/>
  <c r="Z28" i="2"/>
  <c r="AF23" i="2"/>
  <c r="AD33" i="2"/>
  <c r="AE41" i="2"/>
  <c r="Z41" i="2"/>
  <c r="Z44" i="2"/>
  <c r="AA44" i="2"/>
  <c r="AA41" i="2"/>
  <c r="Z39" i="2"/>
  <c r="AE31" i="2"/>
  <c r="AE42" i="2"/>
  <c r="Y17" i="2"/>
  <c r="Y19" i="2"/>
  <c r="AE25" i="2"/>
  <c r="AC23" i="2"/>
  <c r="AA27" i="2"/>
  <c r="AB37" i="2"/>
  <c r="L17" i="2"/>
  <c r="J17" i="2"/>
  <c r="J15" i="2" s="1"/>
  <c r="K17" i="2"/>
  <c r="AA38" i="2"/>
  <c r="F19" i="2"/>
  <c r="AA31" i="2"/>
  <c r="AC39" i="2"/>
  <c r="Z33" i="2"/>
  <c r="Z29" i="2"/>
  <c r="X17" i="2"/>
  <c r="H19" i="2"/>
  <c r="O21" i="2"/>
  <c r="AA21" i="2"/>
  <c r="AG22" i="2"/>
  <c r="AG23" i="2"/>
  <c r="AG24" i="2"/>
  <c r="AG25" i="2"/>
  <c r="AG26" i="2"/>
  <c r="AG27" i="2"/>
  <c r="AE29" i="2"/>
  <c r="AB30" i="2"/>
  <c r="AG31" i="2"/>
  <c r="AD32" i="2"/>
  <c r="AB34" i="2"/>
  <c r="Z36" i="2"/>
  <c r="AG37" i="2"/>
  <c r="AF38" i="2"/>
  <c r="AE39" i="2"/>
  <c r="AF33" i="2"/>
  <c r="I19" i="2"/>
  <c r="AG28" i="2"/>
  <c r="AA36" i="2"/>
  <c r="AH37" i="2"/>
  <c r="AG38" i="2"/>
  <c r="AD40" i="2"/>
  <c r="AE34" i="2"/>
  <c r="F17" i="2"/>
  <c r="G17" i="2"/>
  <c r="J19" i="2"/>
  <c r="Q21" i="2"/>
  <c r="AC21" i="2"/>
  <c r="AH28" i="2"/>
  <c r="AG29" i="2"/>
  <c r="AD30" i="2"/>
  <c r="AA37" i="2"/>
  <c r="Z38" i="2"/>
  <c r="AH38" i="2"/>
  <c r="AG39" i="2"/>
  <c r="AD44" i="2"/>
  <c r="B60" i="2"/>
  <c r="K16" i="2" s="1"/>
  <c r="AC36" i="2"/>
  <c r="L19" i="2"/>
  <c r="Z32" i="2"/>
  <c r="AG33" i="2"/>
  <c r="AD36" i="2"/>
  <c r="AG40" i="2"/>
  <c r="X19" i="2"/>
  <c r="AG30" i="2"/>
  <c r="AA32" i="2"/>
  <c r="AG34" i="2"/>
  <c r="AH40" i="2"/>
  <c r="AG43" i="2"/>
  <c r="AG44" i="2"/>
  <c r="AG21" i="2"/>
  <c r="AD28" i="2"/>
  <c r="AH30" i="2"/>
  <c r="AH34" i="2"/>
  <c r="AG35" i="2"/>
  <c r="AG41" i="2"/>
  <c r="AG42" i="2"/>
  <c r="AH43" i="2"/>
  <c r="AH44" i="2"/>
  <c r="AH35" i="2"/>
  <c r="AH41" i="2"/>
  <c r="AH18" i="1"/>
  <c r="AG18" i="1"/>
  <c r="AF18" i="1"/>
  <c r="AE18" i="1"/>
  <c r="AD18" i="1"/>
  <c r="AC18" i="1"/>
  <c r="AB18" i="1"/>
  <c r="E18" i="1"/>
  <c r="B21" i="1"/>
  <c r="B23" i="1"/>
  <c r="B65" i="1"/>
  <c r="B56" i="1"/>
  <c r="X16" i="1" s="1"/>
  <c r="Y16" i="1" s="1"/>
  <c r="B55" i="1"/>
  <c r="B54" i="1"/>
  <c r="B53" i="1"/>
  <c r="B52" i="1"/>
  <c r="B51" i="1"/>
  <c r="B50" i="1"/>
  <c r="B49" i="1"/>
  <c r="B48" i="1"/>
  <c r="B47" i="1"/>
  <c r="B46" i="1"/>
  <c r="B45" i="1"/>
  <c r="B44" i="1"/>
  <c r="B42" i="1"/>
  <c r="B41" i="1"/>
  <c r="I16" i="1" s="1"/>
  <c r="J16" i="1" s="1"/>
  <c r="B40" i="1"/>
  <c r="B39" i="1"/>
  <c r="B38" i="1"/>
  <c r="B37" i="1"/>
  <c r="B36" i="1"/>
  <c r="B35" i="1"/>
  <c r="B34" i="1"/>
  <c r="B33" i="1"/>
  <c r="B32" i="1"/>
  <c r="B31" i="1"/>
  <c r="B30" i="1"/>
  <c r="E16" i="1" s="1"/>
  <c r="F16" i="1" s="1"/>
  <c r="B29" i="1"/>
  <c r="B28" i="1"/>
  <c r="B27" i="1"/>
  <c r="B26" i="1"/>
  <c r="B25" i="1"/>
  <c r="B24" i="1"/>
  <c r="B22" i="1"/>
  <c r="AO22" i="1"/>
  <c r="BB22" i="1" s="1"/>
  <c r="AO23" i="1"/>
  <c r="BB23" i="1" s="1"/>
  <c r="AO24" i="1"/>
  <c r="BB24" i="1" s="1"/>
  <c r="AO25" i="1"/>
  <c r="BB25" i="1" s="1"/>
  <c r="AO26" i="1"/>
  <c r="BB26" i="1" s="1"/>
  <c r="AO27" i="1"/>
  <c r="BB27" i="1" s="1"/>
  <c r="AO28" i="1"/>
  <c r="BB28" i="1" s="1"/>
  <c r="AO29" i="1"/>
  <c r="BB29" i="1" s="1"/>
  <c r="AO30" i="1"/>
  <c r="BB30" i="1" s="1"/>
  <c r="AO31" i="1"/>
  <c r="BB31" i="1" s="1"/>
  <c r="AO32" i="1"/>
  <c r="BB32" i="1" s="1"/>
  <c r="AO33" i="1"/>
  <c r="BB33" i="1" s="1"/>
  <c r="AO34" i="1"/>
  <c r="BB34" i="1" s="1"/>
  <c r="AO35" i="1"/>
  <c r="BB35" i="1" s="1"/>
  <c r="AO36" i="1"/>
  <c r="BB36" i="1" s="1"/>
  <c r="AO37" i="1"/>
  <c r="BB37" i="1" s="1"/>
  <c r="AO38" i="1"/>
  <c r="BB38" i="1" s="1"/>
  <c r="AO39" i="1"/>
  <c r="BB39" i="1" s="1"/>
  <c r="AO40" i="1"/>
  <c r="BB40" i="1" s="1"/>
  <c r="AO41" i="1"/>
  <c r="BB41" i="1" s="1"/>
  <c r="AO42" i="1"/>
  <c r="BB42" i="1" s="1"/>
  <c r="AO43" i="1"/>
  <c r="BB43" i="1" s="1"/>
  <c r="AO44" i="1"/>
  <c r="BB44" i="1" s="1"/>
  <c r="AO21" i="1"/>
  <c r="BB21" i="1" s="1"/>
  <c r="AN28" i="1"/>
  <c r="BD28" i="1" s="1"/>
  <c r="AN29" i="1"/>
  <c r="BD29" i="1" s="1"/>
  <c r="AN30" i="1"/>
  <c r="BD30" i="1" s="1"/>
  <c r="AN31" i="1"/>
  <c r="BD31" i="1" s="1"/>
  <c r="AN32" i="1"/>
  <c r="BD32" i="1" s="1"/>
  <c r="AN33" i="1"/>
  <c r="BD33" i="1" s="1"/>
  <c r="AN34" i="1"/>
  <c r="BD34" i="1" s="1"/>
  <c r="AN35" i="1"/>
  <c r="BD35" i="1" s="1"/>
  <c r="AN36" i="1"/>
  <c r="BD36" i="1" s="1"/>
  <c r="AN37" i="1"/>
  <c r="BD37" i="1" s="1"/>
  <c r="AN38" i="1"/>
  <c r="BD38" i="1" s="1"/>
  <c r="AN27" i="1"/>
  <c r="BD27" i="1" s="1"/>
  <c r="AM22" i="1"/>
  <c r="BK22" i="1" s="1"/>
  <c r="AM23" i="1"/>
  <c r="BK23" i="1" s="1"/>
  <c r="AM24" i="1"/>
  <c r="BK24" i="1" s="1"/>
  <c r="AM25" i="1"/>
  <c r="BK25" i="1" s="1"/>
  <c r="AM26" i="1"/>
  <c r="BK26" i="1" s="1"/>
  <c r="AM27" i="1"/>
  <c r="BK27" i="1" s="1"/>
  <c r="AM28" i="1"/>
  <c r="BK28" i="1" s="1"/>
  <c r="AM29" i="1"/>
  <c r="BK29" i="1" s="1"/>
  <c r="AM30" i="1"/>
  <c r="BK30" i="1" s="1"/>
  <c r="AM31" i="1"/>
  <c r="BK31" i="1" s="1"/>
  <c r="AM32" i="1"/>
  <c r="BK32" i="1" s="1"/>
  <c r="AM33" i="1"/>
  <c r="BK33" i="1" s="1"/>
  <c r="AM34" i="1"/>
  <c r="BK34" i="1" s="1"/>
  <c r="AM35" i="1"/>
  <c r="BK35" i="1" s="1"/>
  <c r="AM36" i="1"/>
  <c r="BK36" i="1" s="1"/>
  <c r="AM37" i="1"/>
  <c r="BK37" i="1" s="1"/>
  <c r="AM38" i="1"/>
  <c r="BK38" i="1" s="1"/>
  <c r="AM39" i="1"/>
  <c r="BK39" i="1" s="1"/>
  <c r="AM40" i="1"/>
  <c r="BK40" i="1" s="1"/>
  <c r="AM41" i="1"/>
  <c r="BK41" i="1" s="1"/>
  <c r="AM42" i="1"/>
  <c r="BK42" i="1" s="1"/>
  <c r="AM43" i="1"/>
  <c r="BK43" i="1" s="1"/>
  <c r="AM44" i="1"/>
  <c r="BK44" i="1" s="1"/>
  <c r="AL22" i="1"/>
  <c r="AZ22" i="1" s="1"/>
  <c r="AL23" i="1"/>
  <c r="AZ23" i="1" s="1"/>
  <c r="AL24" i="1"/>
  <c r="AZ24" i="1" s="1"/>
  <c r="AL25" i="1"/>
  <c r="AZ25" i="1" s="1"/>
  <c r="AL26" i="1"/>
  <c r="AZ26" i="1" s="1"/>
  <c r="AL27" i="1"/>
  <c r="AZ27" i="1" s="1"/>
  <c r="AL28" i="1"/>
  <c r="AZ28" i="1" s="1"/>
  <c r="AL29" i="1"/>
  <c r="AZ29" i="1" s="1"/>
  <c r="AL30" i="1"/>
  <c r="AZ30" i="1" s="1"/>
  <c r="AL31" i="1"/>
  <c r="AZ31" i="1" s="1"/>
  <c r="AL32" i="1"/>
  <c r="AZ32" i="1" s="1"/>
  <c r="AL33" i="1"/>
  <c r="AZ33" i="1" s="1"/>
  <c r="AL34" i="1"/>
  <c r="AZ34" i="1" s="1"/>
  <c r="AL35" i="1"/>
  <c r="AZ35" i="1" s="1"/>
  <c r="AL36" i="1"/>
  <c r="AZ36" i="1" s="1"/>
  <c r="AL37" i="1"/>
  <c r="AZ37" i="1" s="1"/>
  <c r="AL38" i="1"/>
  <c r="AZ38" i="1" s="1"/>
  <c r="AL39" i="1"/>
  <c r="AZ39" i="1" s="1"/>
  <c r="AL40" i="1"/>
  <c r="AZ40" i="1" s="1"/>
  <c r="AL41" i="1"/>
  <c r="AZ41" i="1" s="1"/>
  <c r="AL42" i="1"/>
  <c r="AZ42" i="1" s="1"/>
  <c r="AL43" i="1"/>
  <c r="AZ43" i="1" s="1"/>
  <c r="AL44" i="1"/>
  <c r="AZ44" i="1" s="1"/>
  <c r="AM21" i="1"/>
  <c r="BK21" i="1" s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L21" i="1"/>
  <c r="AZ21" i="1" s="1"/>
  <c r="AK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21" i="1"/>
  <c r="AI38" i="1"/>
  <c r="AX38" i="1" s="1"/>
  <c r="AI39" i="1"/>
  <c r="AX39" i="1" s="1"/>
  <c r="AI40" i="1"/>
  <c r="AX40" i="1" s="1"/>
  <c r="AI41" i="1"/>
  <c r="AX41" i="1" s="1"/>
  <c r="AI42" i="1"/>
  <c r="AX42" i="1" s="1"/>
  <c r="AI43" i="1"/>
  <c r="AX43" i="1" s="1"/>
  <c r="AI44" i="1"/>
  <c r="AX44" i="1" s="1"/>
  <c r="AI22" i="1"/>
  <c r="AX22" i="1" s="1"/>
  <c r="AI23" i="1"/>
  <c r="AX23" i="1" s="1"/>
  <c r="AI24" i="1"/>
  <c r="AX24" i="1" s="1"/>
  <c r="AI25" i="1"/>
  <c r="AX25" i="1" s="1"/>
  <c r="AI26" i="1"/>
  <c r="AX26" i="1" s="1"/>
  <c r="AI27" i="1"/>
  <c r="AX27" i="1" s="1"/>
  <c r="AI28" i="1"/>
  <c r="AX28" i="1" s="1"/>
  <c r="AI29" i="1"/>
  <c r="AX29" i="1" s="1"/>
  <c r="AI30" i="1"/>
  <c r="AX30" i="1" s="1"/>
  <c r="AI31" i="1"/>
  <c r="AX31" i="1" s="1"/>
  <c r="AI32" i="1"/>
  <c r="AX32" i="1" s="1"/>
  <c r="AI33" i="1"/>
  <c r="AX33" i="1" s="1"/>
  <c r="AI34" i="1"/>
  <c r="AX34" i="1" s="1"/>
  <c r="AI35" i="1"/>
  <c r="AX35" i="1" s="1"/>
  <c r="AI36" i="1"/>
  <c r="AX36" i="1" s="1"/>
  <c r="AI37" i="1"/>
  <c r="AX37" i="1" s="1"/>
  <c r="AI21" i="1"/>
  <c r="AX21" i="1" s="1"/>
  <c r="G16" i="2" l="1"/>
  <c r="B64" i="2"/>
  <c r="B63" i="2"/>
  <c r="AB19" i="2" s="1"/>
  <c r="AE19" i="2"/>
  <c r="AE17" i="2" s="1"/>
  <c r="AF19" i="2"/>
  <c r="AF17" i="2" s="1"/>
  <c r="AH19" i="2"/>
  <c r="AH17" i="2" s="1"/>
  <c r="AD19" i="2"/>
  <c r="AD17" i="2" s="1"/>
  <c r="AC19" i="2"/>
  <c r="AD13" i="2" s="1"/>
  <c r="Z18" i="2"/>
  <c r="L16" i="2"/>
  <c r="L15" i="2" s="1"/>
  <c r="K15" i="2"/>
  <c r="H16" i="2"/>
  <c r="H15" i="2" s="1"/>
  <c r="G15" i="2"/>
  <c r="F15" i="2"/>
  <c r="Q21" i="1"/>
  <c r="BD45" i="1"/>
  <c r="R21" i="1"/>
  <c r="Q22" i="1"/>
  <c r="Q23" i="1" s="1"/>
  <c r="BB45" i="1"/>
  <c r="AX45" i="1"/>
  <c r="AZ45" i="1"/>
  <c r="BK45" i="1"/>
  <c r="AG19" i="2"/>
  <c r="AG17" i="2" s="1"/>
  <c r="R21" i="2"/>
  <c r="Q22" i="2"/>
  <c r="AA18" i="2"/>
  <c r="B62" i="2"/>
  <c r="O22" i="2"/>
  <c r="P21" i="2"/>
  <c r="O21" i="1"/>
  <c r="O22" i="1" s="1"/>
  <c r="AC25" i="1"/>
  <c r="P21" i="1"/>
  <c r="AH26" i="1"/>
  <c r="AB42" i="1"/>
  <c r="AF24" i="1"/>
  <c r="AB26" i="1"/>
  <c r="AB34" i="1"/>
  <c r="Z37" i="1"/>
  <c r="K19" i="1"/>
  <c r="AD42" i="1"/>
  <c r="AB39" i="1"/>
  <c r="AB31" i="1"/>
  <c r="AA24" i="1"/>
  <c r="AB23" i="1"/>
  <c r="F17" i="1"/>
  <c r="AR39" i="1"/>
  <c r="AR29" i="1"/>
  <c r="Z44" i="1"/>
  <c r="AC42" i="1"/>
  <c r="AE41" i="1"/>
  <c r="AA40" i="1"/>
  <c r="AB38" i="1"/>
  <c r="Z36" i="1"/>
  <c r="Z35" i="1"/>
  <c r="AC34" i="1"/>
  <c r="AE33" i="1"/>
  <c r="AA32" i="1"/>
  <c r="AA31" i="1"/>
  <c r="AB30" i="1"/>
  <c r="Z28" i="1"/>
  <c r="Z27" i="1"/>
  <c r="AC26" i="1"/>
  <c r="AE25" i="1"/>
  <c r="AA23" i="1"/>
  <c r="AB22" i="1"/>
  <c r="AG42" i="1"/>
  <c r="AG34" i="1"/>
  <c r="AG26" i="1"/>
  <c r="AH41" i="1"/>
  <c r="AH33" i="1"/>
  <c r="AH25" i="1"/>
  <c r="AA41" i="1"/>
  <c r="AQ21" i="1"/>
  <c r="L17" i="1"/>
  <c r="AD44" i="1"/>
  <c r="AA43" i="1"/>
  <c r="AB41" i="1"/>
  <c r="Z39" i="1"/>
  <c r="AC37" i="1"/>
  <c r="AD36" i="1"/>
  <c r="AA35" i="1"/>
  <c r="AB33" i="1"/>
  <c r="Z31" i="1"/>
  <c r="AC29" i="1"/>
  <c r="AD28" i="1"/>
  <c r="AA27" i="1"/>
  <c r="AB25" i="1"/>
  <c r="Z23" i="1"/>
  <c r="AG41" i="1"/>
  <c r="AG33" i="1"/>
  <c r="AG25" i="1"/>
  <c r="AH40" i="1"/>
  <c r="AH32" i="1"/>
  <c r="AH24" i="1"/>
  <c r="E17" i="1"/>
  <c r="AB44" i="1"/>
  <c r="AC40" i="1"/>
  <c r="AD39" i="1"/>
  <c r="AA38" i="1"/>
  <c r="AB36" i="1"/>
  <c r="Z34" i="1"/>
  <c r="AC32" i="1"/>
  <c r="AD31" i="1"/>
  <c r="AA30" i="1"/>
  <c r="AB28" i="1"/>
  <c r="Z26" i="1"/>
  <c r="AC24" i="1"/>
  <c r="AD23" i="1"/>
  <c r="AA22" i="1"/>
  <c r="AG40" i="1"/>
  <c r="AG32" i="1"/>
  <c r="AG24" i="1"/>
  <c r="AH39" i="1"/>
  <c r="AH31" i="1"/>
  <c r="AH23" i="1"/>
  <c r="AC43" i="1"/>
  <c r="AC35" i="1"/>
  <c r="AD34" i="1"/>
  <c r="AC27" i="1"/>
  <c r="AD26" i="1"/>
  <c r="AH21" i="1"/>
  <c r="AG39" i="1"/>
  <c r="AG31" i="1"/>
  <c r="AG23" i="1"/>
  <c r="AH38" i="1"/>
  <c r="AH30" i="1"/>
  <c r="AH22" i="1"/>
  <c r="AQ39" i="1"/>
  <c r="G17" i="1"/>
  <c r="AD21" i="1"/>
  <c r="AA44" i="1"/>
  <c r="Z40" i="1"/>
  <c r="AE37" i="1"/>
  <c r="AA36" i="1"/>
  <c r="Z32" i="1"/>
  <c r="AE29" i="1"/>
  <c r="AA28" i="1"/>
  <c r="Z24" i="1"/>
  <c r="AG38" i="1"/>
  <c r="AG30" i="1"/>
  <c r="AG22" i="1"/>
  <c r="AH37" i="1"/>
  <c r="AH29" i="1"/>
  <c r="AG21" i="1"/>
  <c r="AQ40" i="1"/>
  <c r="Z21" i="1"/>
  <c r="X17" i="1"/>
  <c r="Z43" i="1"/>
  <c r="AC41" i="1"/>
  <c r="AA39" i="1"/>
  <c r="AB37" i="1"/>
  <c r="AC33" i="1"/>
  <c r="AB29" i="1"/>
  <c r="AG37" i="1"/>
  <c r="AG29" i="1"/>
  <c r="AH44" i="1"/>
  <c r="AH36" i="1"/>
  <c r="AH28" i="1"/>
  <c r="AQ30" i="1"/>
  <c r="AF27" i="1"/>
  <c r="Y17" i="1"/>
  <c r="AC44" i="1"/>
  <c r="AD43" i="1"/>
  <c r="AB40" i="1"/>
  <c r="AC36" i="1"/>
  <c r="AD35" i="1"/>
  <c r="AA34" i="1"/>
  <c r="AB32" i="1"/>
  <c r="AC28" i="1"/>
  <c r="AD27" i="1"/>
  <c r="AA26" i="1"/>
  <c r="AB24" i="1"/>
  <c r="AQ29" i="1"/>
  <c r="AG44" i="1"/>
  <c r="AG36" i="1"/>
  <c r="AG28" i="1"/>
  <c r="AH43" i="1"/>
  <c r="AH35" i="1"/>
  <c r="AH27" i="1"/>
  <c r="AC38" i="1"/>
  <c r="AC30" i="1"/>
  <c r="AC22" i="1"/>
  <c r="AQ31" i="1"/>
  <c r="J17" i="1"/>
  <c r="AB43" i="1"/>
  <c r="AA42" i="1"/>
  <c r="Z41" i="1"/>
  <c r="AC39" i="1"/>
  <c r="AD38" i="1"/>
  <c r="Z38" i="1"/>
  <c r="AA37" i="1"/>
  <c r="AB35" i="1"/>
  <c r="AA33" i="1"/>
  <c r="Z33" i="1"/>
  <c r="AC31" i="1"/>
  <c r="AD30" i="1"/>
  <c r="Z30" i="1"/>
  <c r="AA29" i="1"/>
  <c r="AB27" i="1"/>
  <c r="K17" i="1"/>
  <c r="AA25" i="1"/>
  <c r="Z25" i="1"/>
  <c r="AC23" i="1"/>
  <c r="AD22" i="1"/>
  <c r="Z22" i="1"/>
  <c r="AR40" i="1"/>
  <c r="AG43" i="1"/>
  <c r="AG35" i="1"/>
  <c r="AG27" i="1"/>
  <c r="AH42" i="1"/>
  <c r="AH34" i="1"/>
  <c r="AD37" i="1"/>
  <c r="AD29" i="1"/>
  <c r="J19" i="1"/>
  <c r="AD41" i="1"/>
  <c r="AF26" i="1"/>
  <c r="I19" i="1"/>
  <c r="AE36" i="1"/>
  <c r="I17" i="1"/>
  <c r="E19" i="1"/>
  <c r="E15" i="1" s="1"/>
  <c r="G19" i="1"/>
  <c r="H17" i="1"/>
  <c r="AR21" i="1"/>
  <c r="AR31" i="1"/>
  <c r="AB21" i="1"/>
  <c r="AE43" i="1"/>
  <c r="AE39" i="1"/>
  <c r="AE35" i="1"/>
  <c r="AE31" i="1"/>
  <c r="AE27" i="1"/>
  <c r="AE23" i="1"/>
  <c r="AF39" i="1"/>
  <c r="AF31" i="1"/>
  <c r="AF23" i="1"/>
  <c r="AE21" i="1"/>
  <c r="AF34" i="1"/>
  <c r="Z29" i="1"/>
  <c r="Z42" i="1"/>
  <c r="AE40" i="1"/>
  <c r="AE24" i="1"/>
  <c r="AF33" i="1"/>
  <c r="H19" i="1"/>
  <c r="AD40" i="1"/>
  <c r="AD32" i="1"/>
  <c r="AD24" i="1"/>
  <c r="AF40" i="1"/>
  <c r="Y19" i="1"/>
  <c r="F19" i="1"/>
  <c r="AR30" i="1"/>
  <c r="AC21" i="1"/>
  <c r="AF38" i="1"/>
  <c r="AF30" i="1"/>
  <c r="AF22" i="1"/>
  <c r="AD33" i="1"/>
  <c r="AD25" i="1"/>
  <c r="AF32" i="1"/>
  <c r="X19" i="1"/>
  <c r="AE42" i="1"/>
  <c r="AE38" i="1"/>
  <c r="AE34" i="1"/>
  <c r="AE30" i="1"/>
  <c r="AE26" i="1"/>
  <c r="AE22" i="1"/>
  <c r="AF21" i="1"/>
  <c r="AF37" i="1"/>
  <c r="AF29" i="1"/>
  <c r="AF42" i="1"/>
  <c r="AE32" i="1"/>
  <c r="AF25" i="1"/>
  <c r="AA21" i="1"/>
  <c r="L19" i="1"/>
  <c r="AF44" i="1"/>
  <c r="AF36" i="1"/>
  <c r="AF28" i="1"/>
  <c r="AE44" i="1"/>
  <c r="AE28" i="1"/>
  <c r="AF41" i="1"/>
  <c r="AF43" i="1"/>
  <c r="AF35" i="1"/>
  <c r="B59" i="1"/>
  <c r="B60" i="1"/>
  <c r="AC17" i="2" l="1"/>
  <c r="AX46" i="1"/>
  <c r="R22" i="1"/>
  <c r="AD12" i="2"/>
  <c r="AD14" i="2" s="1"/>
  <c r="AB17" i="2"/>
  <c r="R22" i="2"/>
  <c r="Q23" i="2"/>
  <c r="P22" i="2"/>
  <c r="O23" i="2"/>
  <c r="Q24" i="1"/>
  <c r="R23" i="1"/>
  <c r="P22" i="1"/>
  <c r="O23" i="1"/>
  <c r="AA18" i="1"/>
  <c r="B64" i="1"/>
  <c r="AC19" i="1" s="1"/>
  <c r="AD19" i="1"/>
  <c r="AD17" i="1" s="1"/>
  <c r="Z18" i="1"/>
  <c r="AH19" i="1"/>
  <c r="AH17" i="1" s="1"/>
  <c r="B63" i="1"/>
  <c r="AB19" i="1" s="1"/>
  <c r="AG19" i="1"/>
  <c r="AG17" i="1" s="1"/>
  <c r="AE19" i="1"/>
  <c r="AE17" i="1" s="1"/>
  <c r="B62" i="1"/>
  <c r="K16" i="1"/>
  <c r="L16" i="1" s="1"/>
  <c r="B61" i="1"/>
  <c r="G16" i="1"/>
  <c r="H16" i="1" s="1"/>
  <c r="AF19" i="1"/>
  <c r="AF17" i="1" s="1"/>
  <c r="P23" i="2" l="1"/>
  <c r="O24" i="2"/>
  <c r="R23" i="2"/>
  <c r="Q24" i="2"/>
  <c r="AD15" i="2"/>
  <c r="AF15" i="2" s="1"/>
  <c r="AF14" i="2"/>
  <c r="Q25" i="1"/>
  <c r="R24" i="1"/>
  <c r="O24" i="1"/>
  <c r="P23" i="1"/>
  <c r="AD13" i="1"/>
  <c r="AD12" i="1"/>
  <c r="AC17" i="1"/>
  <c r="AB17" i="1"/>
  <c r="R24" i="2" l="1"/>
  <c r="Q25" i="2"/>
  <c r="O25" i="2"/>
  <c r="P24" i="2"/>
  <c r="AD14" i="1"/>
  <c r="AD15" i="1" s="1"/>
  <c r="AF15" i="1" s="1"/>
  <c r="Q26" i="1"/>
  <c r="R25" i="1"/>
  <c r="O25" i="1"/>
  <c r="P24" i="1"/>
  <c r="AF14" i="1" l="1"/>
  <c r="O26" i="2"/>
  <c r="P25" i="2"/>
  <c r="R25" i="2"/>
  <c r="Q26" i="2"/>
  <c r="Q27" i="1"/>
  <c r="R26" i="1"/>
  <c r="O26" i="1"/>
  <c r="P25" i="1"/>
  <c r="R26" i="2" l="1"/>
  <c r="Q27" i="2"/>
  <c r="O27" i="2"/>
  <c r="P26" i="2"/>
  <c r="Q28" i="1"/>
  <c r="R27" i="1"/>
  <c r="O27" i="1"/>
  <c r="P26" i="1"/>
  <c r="Q28" i="2" l="1"/>
  <c r="R27" i="2"/>
  <c r="P27" i="2"/>
  <c r="O28" i="2"/>
  <c r="Q29" i="1"/>
  <c r="R28" i="1"/>
  <c r="O28" i="1"/>
  <c r="P27" i="1"/>
  <c r="O29" i="2" l="1"/>
  <c r="P28" i="2"/>
  <c r="Q29" i="2"/>
  <c r="R28" i="2"/>
  <c r="Q30" i="1"/>
  <c r="R29" i="1"/>
  <c r="O29" i="1"/>
  <c r="P28" i="1"/>
  <c r="R29" i="2" l="1"/>
  <c r="Q30" i="2"/>
  <c r="O30" i="2"/>
  <c r="P29" i="2"/>
  <c r="Q31" i="1"/>
  <c r="R30" i="1"/>
  <c r="O30" i="1"/>
  <c r="P29" i="1"/>
  <c r="O31" i="2" l="1"/>
  <c r="P30" i="2"/>
  <c r="Q31" i="2"/>
  <c r="R30" i="2"/>
  <c r="Q32" i="1"/>
  <c r="R31" i="1"/>
  <c r="O31" i="1"/>
  <c r="P30" i="1"/>
  <c r="Q32" i="2" l="1"/>
  <c r="R31" i="2"/>
  <c r="O32" i="2"/>
  <c r="P31" i="2"/>
  <c r="Q33" i="1"/>
  <c r="R32" i="1"/>
  <c r="O32" i="1"/>
  <c r="P31" i="1"/>
  <c r="O33" i="2" l="1"/>
  <c r="P32" i="2"/>
  <c r="Q33" i="2"/>
  <c r="R32" i="2"/>
  <c r="Q34" i="1"/>
  <c r="R33" i="1"/>
  <c r="O33" i="1"/>
  <c r="P32" i="1"/>
  <c r="Q34" i="2" l="1"/>
  <c r="R33" i="2"/>
  <c r="O34" i="2"/>
  <c r="P33" i="2"/>
  <c r="Q35" i="1"/>
  <c r="R34" i="1"/>
  <c r="O34" i="1"/>
  <c r="P33" i="1"/>
  <c r="O35" i="2" l="1"/>
  <c r="P34" i="2"/>
  <c r="Q35" i="2"/>
  <c r="R34" i="2"/>
  <c r="Q36" i="1"/>
  <c r="R35" i="1"/>
  <c r="O35" i="1"/>
  <c r="P34" i="1"/>
  <c r="Q36" i="2" l="1"/>
  <c r="R35" i="2"/>
  <c r="O36" i="2"/>
  <c r="P35" i="2"/>
  <c r="Q37" i="1"/>
  <c r="R36" i="1"/>
  <c r="O36" i="1"/>
  <c r="P35" i="1"/>
  <c r="O37" i="2" l="1"/>
  <c r="P36" i="2"/>
  <c r="Q37" i="2"/>
  <c r="R36" i="2"/>
  <c r="Q38" i="1"/>
  <c r="R37" i="1"/>
  <c r="O37" i="1"/>
  <c r="P36" i="1"/>
  <c r="Q38" i="2" l="1"/>
  <c r="R37" i="2"/>
  <c r="O38" i="2"/>
  <c r="P37" i="2"/>
  <c r="Q39" i="1"/>
  <c r="R38" i="1"/>
  <c r="O38" i="1"/>
  <c r="P37" i="1"/>
  <c r="O39" i="2" l="1"/>
  <c r="P38" i="2"/>
  <c r="Q39" i="2"/>
  <c r="R38" i="2"/>
  <c r="Q40" i="1"/>
  <c r="R39" i="1"/>
  <c r="O39" i="1"/>
  <c r="P38" i="1"/>
  <c r="R39" i="2" l="1"/>
  <c r="Q40" i="2"/>
  <c r="O40" i="2"/>
  <c r="P39" i="2"/>
  <c r="Q41" i="1"/>
  <c r="R40" i="1"/>
  <c r="O40" i="1"/>
  <c r="P39" i="1"/>
  <c r="P40" i="2" l="1"/>
  <c r="O41" i="2"/>
  <c r="Q41" i="2"/>
  <c r="R40" i="2"/>
  <c r="Q42" i="1"/>
  <c r="R41" i="1"/>
  <c r="O41" i="1"/>
  <c r="P40" i="1"/>
  <c r="R41" i="2" l="1"/>
  <c r="Q42" i="2"/>
  <c r="P41" i="2"/>
  <c r="O42" i="2"/>
  <c r="Q43" i="1"/>
  <c r="R42" i="1"/>
  <c r="O42" i="1"/>
  <c r="P41" i="1"/>
  <c r="O43" i="2" l="1"/>
  <c r="P42" i="2"/>
  <c r="R42" i="2"/>
  <c r="Q43" i="2"/>
  <c r="Q44" i="1"/>
  <c r="R44" i="1" s="1"/>
  <c r="R43" i="1"/>
  <c r="O43" i="1"/>
  <c r="P42" i="1"/>
  <c r="R43" i="2" l="1"/>
  <c r="Q44" i="2"/>
  <c r="R44" i="2" s="1"/>
  <c r="R18" i="2" s="1"/>
  <c r="O44" i="2"/>
  <c r="P44" i="2" s="1"/>
  <c r="P43" i="2"/>
  <c r="R18" i="1"/>
  <c r="O44" i="1"/>
  <c r="P44" i="1" s="1"/>
  <c r="P43" i="1"/>
  <c r="P18" i="2" l="1"/>
  <c r="P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V21" authorId="0" shapeId="0" xr:uid="{5C7DC9AE-D3AC-D04A-9B5B-BAE6E4B4829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<sst xmlns="http://schemas.openxmlformats.org/spreadsheetml/2006/main" count="329" uniqueCount="91">
  <si>
    <t>lambda</t>
  </si>
  <si>
    <t>pbmax1</t>
  </si>
  <si>
    <t>pbmax2</t>
  </si>
  <si>
    <t>Plu1</t>
  </si>
  <si>
    <t>Plu2</t>
  </si>
  <si>
    <t>Ppvu</t>
  </si>
  <si>
    <t>psi</t>
  </si>
  <si>
    <r>
      <t>Plmax1</t>
    </r>
    <r>
      <rPr>
        <sz val="14"/>
        <color rgb="FF007400"/>
        <rFont val="Consolas"/>
        <family val="2"/>
      </rPr>
      <t xml:space="preserve"> / 231.241369863014 /</t>
    </r>
  </si>
  <si>
    <r>
      <t>SOC01</t>
    </r>
    <r>
      <rPr>
        <sz val="14"/>
        <color rgb="FF007400"/>
        <rFont val="Consolas"/>
        <family val="2"/>
      </rPr>
      <t xml:space="preserve"> / 100 /</t>
    </r>
  </si>
  <si>
    <r>
      <t>C1</t>
    </r>
    <r>
      <rPr>
        <sz val="14"/>
        <color rgb="FF007400"/>
        <rFont val="Consolas"/>
        <family val="2"/>
      </rPr>
      <t xml:space="preserve"> / 2000 /</t>
    </r>
  </si>
  <si>
    <r>
      <t>eff_c1</t>
    </r>
    <r>
      <rPr>
        <sz val="14"/>
        <color rgb="FF007400"/>
        <rFont val="Consolas"/>
        <family val="2"/>
      </rPr>
      <t xml:space="preserve"> / 0.93 /</t>
    </r>
  </si>
  <si>
    <r>
      <t>eff_d1</t>
    </r>
    <r>
      <rPr>
        <sz val="14"/>
        <color rgb="FF007400"/>
        <rFont val="Consolas"/>
        <family val="2"/>
      </rPr>
      <t xml:space="preserve"> / 0.97 /</t>
    </r>
  </si>
  <si>
    <r>
      <t>R_c1</t>
    </r>
    <r>
      <rPr>
        <sz val="14"/>
        <color rgb="FF007400"/>
        <rFont val="Consolas"/>
        <family val="2"/>
      </rPr>
      <t xml:space="preserve"> / 0.2/</t>
    </r>
  </si>
  <si>
    <r>
      <t>R_d1</t>
    </r>
    <r>
      <rPr>
        <sz val="14"/>
        <color rgb="FF007400"/>
        <rFont val="Consolas"/>
        <family val="2"/>
      </rPr>
      <t xml:space="preserve"> / 0.2/</t>
    </r>
  </si>
  <si>
    <r>
      <t>DoD1</t>
    </r>
    <r>
      <rPr>
        <sz val="14"/>
        <color rgb="FF007400"/>
        <rFont val="Consolas"/>
        <family val="2"/>
      </rPr>
      <t xml:space="preserve"> / 0.9/</t>
    </r>
  </si>
  <si>
    <r>
      <t>Pmax1</t>
    </r>
    <r>
      <rPr>
        <sz val="14"/>
        <color rgb="FF007400"/>
        <rFont val="Consolas"/>
        <family val="2"/>
      </rPr>
      <t xml:space="preserve"> / 600/</t>
    </r>
  </si>
  <si>
    <r>
      <t>Capacity01</t>
    </r>
    <r>
      <rPr>
        <sz val="14"/>
        <color rgb="FF007400"/>
        <rFont val="Consolas"/>
        <family val="2"/>
      </rPr>
      <t xml:space="preserve"> /-31713.9/</t>
    </r>
  </si>
  <si>
    <r>
      <t>Ppvmax2</t>
    </r>
    <r>
      <rPr>
        <sz val="14"/>
        <color rgb="FF007400"/>
        <rFont val="Consolas"/>
        <family val="2"/>
      </rPr>
      <t xml:space="preserve"> / 800/</t>
    </r>
  </si>
  <si>
    <r>
      <t>Plmax2</t>
    </r>
    <r>
      <rPr>
        <sz val="14"/>
        <color rgb="FF007400"/>
        <rFont val="Consolas"/>
        <family val="2"/>
      </rPr>
      <t xml:space="preserve"> / 312.78235978049 /</t>
    </r>
  </si>
  <si>
    <r>
      <t>SOC02</t>
    </r>
    <r>
      <rPr>
        <sz val="14"/>
        <color rgb="FF007400"/>
        <rFont val="Consolas"/>
        <family val="2"/>
      </rPr>
      <t xml:space="preserve"> / 140 /</t>
    </r>
  </si>
  <si>
    <r>
      <t>C2</t>
    </r>
    <r>
      <rPr>
        <sz val="14"/>
        <color rgb="FF007400"/>
        <rFont val="Consolas"/>
        <family val="2"/>
      </rPr>
      <t xml:space="preserve"> / 2800 /</t>
    </r>
  </si>
  <si>
    <r>
      <t>eff_c2</t>
    </r>
    <r>
      <rPr>
        <sz val="14"/>
        <color rgb="FF007400"/>
        <rFont val="Consolas"/>
        <family val="2"/>
      </rPr>
      <t xml:space="preserve"> / 0.92 /</t>
    </r>
  </si>
  <si>
    <r>
      <t>eff_d2</t>
    </r>
    <r>
      <rPr>
        <sz val="14"/>
        <color rgb="FF007400"/>
        <rFont val="Consolas"/>
        <family val="2"/>
      </rPr>
      <t xml:space="preserve"> / 0.95 /</t>
    </r>
  </si>
  <si>
    <r>
      <t>R_c2</t>
    </r>
    <r>
      <rPr>
        <sz val="14"/>
        <color rgb="FF007400"/>
        <rFont val="Consolas"/>
        <family val="2"/>
      </rPr>
      <t xml:space="preserve"> / 0.3/</t>
    </r>
  </si>
  <si>
    <r>
      <t>R_d2</t>
    </r>
    <r>
      <rPr>
        <sz val="14"/>
        <color rgb="FF007400"/>
        <rFont val="Consolas"/>
        <family val="2"/>
      </rPr>
      <t xml:space="preserve"> / 0.3/</t>
    </r>
  </si>
  <si>
    <r>
      <t>DoD2</t>
    </r>
    <r>
      <rPr>
        <sz val="14"/>
        <color rgb="FF007400"/>
        <rFont val="Consolas"/>
        <family val="2"/>
      </rPr>
      <t xml:space="preserve"> / 0.9/</t>
    </r>
  </si>
  <si>
    <r>
      <t>Pmax2</t>
    </r>
    <r>
      <rPr>
        <sz val="14"/>
        <color rgb="FF007400"/>
        <rFont val="Consolas"/>
        <family val="2"/>
      </rPr>
      <t xml:space="preserve"> / 650/</t>
    </r>
  </si>
  <si>
    <r>
      <t>Capacity02</t>
    </r>
    <r>
      <rPr>
        <sz val="14"/>
        <color rgb="FF007400"/>
        <rFont val="Consolas"/>
        <family val="2"/>
      </rPr>
      <t xml:space="preserve"> /-33786.68/</t>
    </r>
  </si>
  <si>
    <r>
      <t>kappaP1</t>
    </r>
    <r>
      <rPr>
        <sz val="14"/>
        <color rgb="FF007400"/>
        <rFont val="Consolas"/>
        <family val="2"/>
      </rPr>
      <t xml:space="preserve"> / 28.79187 /</t>
    </r>
  </si>
  <si>
    <r>
      <t>kappaP2</t>
    </r>
    <r>
      <rPr>
        <sz val="14"/>
        <color rgb="FF007400"/>
        <rFont val="Consolas"/>
        <family val="2"/>
      </rPr>
      <t xml:space="preserve"> / 15.07764 /</t>
    </r>
  </si>
  <si>
    <r>
      <t>kappaP3</t>
    </r>
    <r>
      <rPr>
        <sz val="14"/>
        <color rgb="FF007400"/>
        <rFont val="Consolas"/>
        <family val="2"/>
      </rPr>
      <t xml:space="preserve"> / 6.55917 /</t>
    </r>
  </si>
  <si>
    <r>
      <t>kappaP4</t>
    </r>
    <r>
      <rPr>
        <sz val="14"/>
        <color rgb="FF007400"/>
        <rFont val="Consolas"/>
        <family val="2"/>
      </rPr>
      <t xml:space="preserve"> / 5.17209 /</t>
    </r>
  </si>
  <si>
    <r>
      <t>kappaP5</t>
    </r>
    <r>
      <rPr>
        <sz val="14"/>
        <color rgb="FF007400"/>
        <rFont val="Consolas"/>
        <family val="2"/>
      </rPr>
      <t xml:space="preserve"> / 1.93281 /</t>
    </r>
  </si>
  <si>
    <r>
      <t>kappaP6</t>
    </r>
    <r>
      <rPr>
        <sz val="14"/>
        <color rgb="FF007400"/>
        <rFont val="Consolas"/>
        <family val="2"/>
      </rPr>
      <t xml:space="preserve"> / 0.91609 /</t>
    </r>
  </si>
  <si>
    <r>
      <t>CAPEXpv</t>
    </r>
    <r>
      <rPr>
        <sz val="14"/>
        <color rgb="FF007400"/>
        <rFont val="Consolas"/>
        <family val="2"/>
      </rPr>
      <t xml:space="preserve"> /700/</t>
    </r>
  </si>
  <si>
    <r>
      <t>CAPEX_BESS</t>
    </r>
    <r>
      <rPr>
        <sz val="14"/>
        <color rgb="FF007400"/>
        <rFont val="Consolas"/>
        <family val="2"/>
      </rPr>
      <t xml:space="preserve"> /200/</t>
    </r>
  </si>
  <si>
    <r>
      <t>CAPEX_BESS_inverter</t>
    </r>
    <r>
      <rPr>
        <sz val="14"/>
        <color rgb="FF007400"/>
        <rFont val="Consolas"/>
        <family val="2"/>
      </rPr>
      <t xml:space="preserve"> /80/</t>
    </r>
  </si>
  <si>
    <r>
      <t>crf</t>
    </r>
    <r>
      <rPr>
        <sz val="14"/>
        <color rgb="FF007400"/>
        <rFont val="Consolas"/>
        <family val="2"/>
      </rPr>
      <t xml:space="preserve"> /0.08024258719069/</t>
    </r>
  </si>
  <si>
    <r>
      <t>varphib</t>
    </r>
    <r>
      <rPr>
        <sz val="14"/>
        <color rgb="FF007400"/>
        <rFont val="Consolas"/>
        <family val="2"/>
      </rPr>
      <t xml:space="preserve"> /0.00375/</t>
    </r>
  </si>
  <si>
    <r>
      <t>varphis</t>
    </r>
    <r>
      <rPr>
        <sz val="14"/>
        <color rgb="FF007400"/>
        <rFont val="Consolas"/>
        <family val="2"/>
      </rPr>
      <t xml:space="preserve"> /0.00125/ </t>
    </r>
  </si>
  <si>
    <r>
      <t>PmaxCDS</t>
    </r>
    <r>
      <rPr>
        <sz val="14"/>
        <color rgb="FF007400"/>
        <rFont val="Consolas"/>
        <family val="2"/>
      </rPr>
      <t xml:space="preserve"> / 400/</t>
    </r>
  </si>
  <si>
    <r>
      <t>CAPEX_I1</t>
    </r>
    <r>
      <rPr>
        <sz val="14"/>
        <color rgb="FF007400"/>
        <rFont val="Consolas"/>
        <family val="2"/>
      </rPr>
      <t xml:space="preserve"> /830300/</t>
    </r>
  </si>
  <si>
    <r>
      <t>CAPEX_I2</t>
    </r>
    <r>
      <rPr>
        <sz val="14"/>
        <color rgb="FF007400"/>
        <rFont val="Consolas"/>
        <family val="2"/>
      </rPr>
      <t xml:space="preserve"> /1187200/</t>
    </r>
  </si>
  <si>
    <r>
      <t>Ppvmax1</t>
    </r>
    <r>
      <rPr>
        <sz val="14"/>
        <color rgb="FF007400"/>
        <rFont val="Consolas"/>
        <family val="2"/>
      </rPr>
      <t xml:space="preserve"> / 569/</t>
    </r>
  </si>
  <si>
    <t>Pb1</t>
  </si>
  <si>
    <t>Pb2</t>
  </si>
  <si>
    <t>Ps1</t>
  </si>
  <si>
    <t>Pc1</t>
  </si>
  <si>
    <t>Pd1</t>
  </si>
  <si>
    <t>Ps2</t>
  </si>
  <si>
    <t>Pc2</t>
  </si>
  <si>
    <t>Pd2</t>
  </si>
  <si>
    <t>SOC1</t>
  </si>
  <si>
    <t>SOC2</t>
  </si>
  <si>
    <t>epsilon</t>
  </si>
  <si>
    <t>delta</t>
  </si>
  <si>
    <t>P12CDS</t>
  </si>
  <si>
    <t>P21CDS</t>
  </si>
  <si>
    <t>Investment1</t>
  </si>
  <si>
    <t>Pinverter1</t>
  </si>
  <si>
    <t>Pinverter2</t>
  </si>
  <si>
    <t>Investment2</t>
  </si>
  <si>
    <t>BALANCES</t>
  </si>
  <si>
    <t>MAX</t>
  </si>
  <si>
    <t>LIM</t>
  </si>
  <si>
    <t>sum</t>
  </si>
  <si>
    <t>P6</t>
  </si>
  <si>
    <t>P5</t>
  </si>
  <si>
    <t>P3</t>
  </si>
  <si>
    <t>P4</t>
  </si>
  <si>
    <t>P1</t>
  </si>
  <si>
    <t>P2</t>
  </si>
  <si>
    <t>Capacity1</t>
  </si>
  <si>
    <t>Capacity2</t>
  </si>
  <si>
    <t>Benefit1</t>
  </si>
  <si>
    <t>Benefit2</t>
  </si>
  <si>
    <t>E1</t>
  </si>
  <si>
    <t>E2</t>
  </si>
  <si>
    <t>APA</t>
  </si>
  <si>
    <t>BASE1</t>
  </si>
  <si>
    <t>BASE2</t>
  </si>
  <si>
    <t>I1_Profit =e= EP1+E1+IndustryProfitnoCDS_BESS_PV1;</t>
  </si>
  <si>
    <t xml:space="preserve">I1_Profit </t>
  </si>
  <si>
    <t xml:space="preserve">I2_Profit </t>
  </si>
  <si>
    <t>I1+I2_Profit</t>
  </si>
  <si>
    <t>VPN</t>
  </si>
  <si>
    <t>Violación?</t>
  </si>
  <si>
    <t xml:space="preserve">    : {'lambda':</t>
  </si>
  <si>
    <t>, 'Plu':</t>
  </si>
  <si>
    <t xml:space="preserve">, 'Ppvu': </t>
  </si>
  <si>
    <t>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</si>
</sst>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0.000000000"/>
    <numFmt numFmtId="166" formatCode="0.0000000000"/>
    <numFmt numFmtId="169" formatCode="0.0000000000000"/>
    <numFmt numFmtId="172" formatCode="0.0000000000000000"/>
    <numFmt numFmtId="173" formatCode="0.00000000000000000"/>
    <numFmt numFmtId="177" formatCode="0.00000"/>
    <numFmt numFmtId="178" formatCode="0.000000"/>
    <numFmt numFmtId="190" formatCode="0.0E+00"/>
    <numFmt numFmtId="191" formatCode="0.00;[Red]0.00"/>
    <numFmt numFmtId="197" formatCode="0.00000000;[Red]0.00000000"/>
    <numFmt numFmtId="205" formatCode="0.0000000000000000;[Red]0.0000000000000000"/>
  </numFmts>
  <fonts count="1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onsolas"/>
      <family val="2"/>
    </font>
    <font>
      <sz val="14"/>
      <color rgb="FF007400"/>
      <name val="Consolas"/>
      <family val="2"/>
    </font>
    <font>
      <i/>
      <sz val="14"/>
      <color rgb="FF787878"/>
      <name val="Consolas"/>
      <family val="2"/>
    </font>
    <font>
      <sz val="12"/>
      <color rgb="FF000000"/>
      <name val="Calibri"/>
      <family val="2"/>
      <scheme val="minor"/>
    </font>
    <font>
      <sz val="11"/>
      <color rgb="FF000000"/>
      <name val="Consolas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ourier"/>
      <family val="1"/>
    </font>
    <font>
      <b/>
      <sz val="12"/>
      <color theme="1"/>
      <name val="Courier"/>
      <family val="1"/>
    </font>
    <font>
      <sz val="12"/>
      <color rgb="FF00206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05D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6" fontId="0" fillId="0" borderId="0" xfId="0" applyNumberFormat="1"/>
    <xf numFmtId="169" fontId="0" fillId="0" borderId="0" xfId="0" applyNumberFormat="1"/>
    <xf numFmtId="173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0" fillId="0" borderId="0" xfId="0" applyNumberFormat="1"/>
    <xf numFmtId="2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2" borderId="0" xfId="0" applyNumberFormat="1" applyFont="1" applyFill="1" applyAlignment="1">
      <alignment horizontal="center"/>
    </xf>
    <xf numFmtId="2" fontId="7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178" fontId="10" fillId="4" borderId="0" xfId="0" applyNumberFormat="1" applyFont="1" applyFill="1" applyAlignment="1">
      <alignment horizontal="center"/>
    </xf>
    <xf numFmtId="178" fontId="11" fillId="4" borderId="0" xfId="0" applyNumberFormat="1" applyFont="1" applyFill="1" applyAlignment="1">
      <alignment horizontal="center"/>
    </xf>
    <xf numFmtId="178" fontId="10" fillId="5" borderId="0" xfId="0" applyNumberFormat="1" applyFont="1" applyFill="1" applyAlignment="1">
      <alignment horizontal="center"/>
    </xf>
    <xf numFmtId="178" fontId="11" fillId="6" borderId="0" xfId="0" applyNumberFormat="1" applyFont="1" applyFill="1" applyAlignment="1">
      <alignment horizontal="center"/>
    </xf>
    <xf numFmtId="178" fontId="11" fillId="7" borderId="0" xfId="0" applyNumberFormat="1" applyFont="1" applyFill="1" applyAlignment="1">
      <alignment horizontal="center"/>
    </xf>
    <xf numFmtId="178" fontId="11" fillId="8" borderId="0" xfId="0" applyNumberFormat="1" applyFont="1" applyFill="1" applyAlignment="1">
      <alignment horizontal="center"/>
    </xf>
    <xf numFmtId="178" fontId="11" fillId="9" borderId="0" xfId="0" applyNumberFormat="1" applyFont="1" applyFill="1" applyAlignment="1">
      <alignment horizontal="center"/>
    </xf>
    <xf numFmtId="0" fontId="6" fillId="0" borderId="0" xfId="0" applyFont="1"/>
    <xf numFmtId="177" fontId="0" fillId="0" borderId="0" xfId="0" applyNumberFormat="1"/>
    <xf numFmtId="190" fontId="0" fillId="10" borderId="0" xfId="0" applyNumberFormat="1" applyFill="1" applyAlignment="1">
      <alignment horizontal="center"/>
    </xf>
    <xf numFmtId="2" fontId="0" fillId="10" borderId="0" xfId="0" applyNumberFormat="1" applyFill="1"/>
    <xf numFmtId="2" fontId="0" fillId="0" borderId="0" xfId="0" applyNumberFormat="1" applyFill="1"/>
    <xf numFmtId="191" fontId="0" fillId="0" borderId="0" xfId="0" applyNumberFormat="1" applyAlignment="1">
      <alignment horizontal="center"/>
    </xf>
    <xf numFmtId="0" fontId="1" fillId="0" borderId="0" xfId="0" applyFont="1"/>
    <xf numFmtId="2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91" fontId="8" fillId="0" borderId="0" xfId="0" applyNumberFormat="1" applyFont="1" applyAlignment="1">
      <alignment horizontal="center"/>
    </xf>
    <xf numFmtId="2" fontId="0" fillId="10" borderId="0" xfId="0" applyNumberFormat="1" applyFont="1" applyFill="1"/>
    <xf numFmtId="197" fontId="0" fillId="0" borderId="0" xfId="0" applyNumberFormat="1" applyFill="1"/>
    <xf numFmtId="197" fontId="0" fillId="10" borderId="0" xfId="0" applyNumberFormat="1" applyFill="1"/>
    <xf numFmtId="205" fontId="0" fillId="0" borderId="0" xfId="0" applyNumberFormat="1" applyFill="1"/>
    <xf numFmtId="205" fontId="0" fillId="10" borderId="0" xfId="0" applyNumberFormat="1" applyFill="1"/>
    <xf numFmtId="17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82222468670289"/>
          <c:y val="6.1287878787878815E-2"/>
          <c:w val="0.73953458282503415"/>
          <c:h val="0.589671319494154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'M7_24 Gurobi Solution'!$M$21:$M$42</c:f>
              <c:numCache>
                <c:formatCode>0.00</c:formatCode>
                <c:ptCount val="2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155.97912393989699</c:v>
                </c:pt>
                <c:pt idx="10">
                  <c:v>268.183538280101</c:v>
                </c:pt>
                <c:pt idx="11">
                  <c:v>513.03218614602702</c:v>
                </c:pt>
                <c:pt idx="12">
                  <c:v>885.03218614602702</c:v>
                </c:pt>
                <c:pt idx="13">
                  <c:v>1257.03218614602</c:v>
                </c:pt>
                <c:pt idx="14">
                  <c:v>1613.47064441414</c:v>
                </c:pt>
                <c:pt idx="15">
                  <c:v>1900</c:v>
                </c:pt>
                <c:pt idx="16">
                  <c:v>1900</c:v>
                </c:pt>
                <c:pt idx="17">
                  <c:v>1900</c:v>
                </c:pt>
                <c:pt idx="18">
                  <c:v>1694.9370204172601</c:v>
                </c:pt>
                <c:pt idx="19">
                  <c:v>1282.5658863966401</c:v>
                </c:pt>
                <c:pt idx="20">
                  <c:v>870.19475237602398</c:v>
                </c:pt>
                <c:pt idx="21">
                  <c:v>457.82361835540502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1-194A-ABB0-D3C8034A2F4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'M7_24 Gurobi Solution'!$N$21:$N$42</c:f>
              <c:numCache>
                <c:formatCode>0.00</c:formatCode>
                <c:ptCount val="22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445.963765538865</c:v>
                </c:pt>
                <c:pt idx="4">
                  <c:v>445.963765538865</c:v>
                </c:pt>
                <c:pt idx="5">
                  <c:v>445.963765538865</c:v>
                </c:pt>
                <c:pt idx="6">
                  <c:v>198.43388157041801</c:v>
                </c:pt>
                <c:pt idx="7">
                  <c:v>140</c:v>
                </c:pt>
                <c:pt idx="8">
                  <c:v>140</c:v>
                </c:pt>
                <c:pt idx="9">
                  <c:v>234.92649574081199</c:v>
                </c:pt>
                <c:pt idx="10">
                  <c:v>404.705038525784</c:v>
                </c:pt>
                <c:pt idx="11">
                  <c:v>608.49023591067998</c:v>
                </c:pt>
                <c:pt idx="12">
                  <c:v>1120.5305917865101</c:v>
                </c:pt>
                <c:pt idx="13">
                  <c:v>1881.0766856006901</c:v>
                </c:pt>
                <c:pt idx="14">
                  <c:v>2323.3226700679402</c:v>
                </c:pt>
                <c:pt idx="15">
                  <c:v>2660</c:v>
                </c:pt>
                <c:pt idx="16">
                  <c:v>2660</c:v>
                </c:pt>
                <c:pt idx="17">
                  <c:v>2660</c:v>
                </c:pt>
                <c:pt idx="18">
                  <c:v>2600.8737790663199</c:v>
                </c:pt>
                <c:pt idx="19">
                  <c:v>1805.1018663786799</c:v>
                </c:pt>
                <c:pt idx="20">
                  <c:v>920.89134006289703</c:v>
                </c:pt>
                <c:pt idx="2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11-194A-ABB0-D3C8034A2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726704"/>
        <c:axId val="933729088"/>
      </c:lineChart>
      <c:catAx>
        <c:axId val="93372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29088"/>
        <c:crosses val="autoZero"/>
        <c:auto val="1"/>
        <c:lblAlgn val="ctr"/>
        <c:lblOffset val="100"/>
        <c:noMultiLvlLbl val="0"/>
      </c:catAx>
      <c:valAx>
        <c:axId val="9337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2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P_CDS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8648293963255"/>
          <c:y val="3.7453703703703718E-2"/>
          <c:w val="0.8585579615048119"/>
          <c:h val="0.601702594552730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'M7_24 Gurobi Solution'!$X$21:$X$44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10.0488268047945</c:v>
                </c:pt>
                <c:pt idx="7">
                  <c:v>94.044604159817197</c:v>
                </c:pt>
                <c:pt idx="8">
                  <c:v>7.2957661586756304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53.698761428133501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85.942659865588297</c:v>
                </c:pt>
                <c:pt idx="23">
                  <c:v>103.79630181484799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2-AF49-A9B7-F42394ED8CE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'M7_24 Gurobi Solution'!$Y$21:$Y$44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90.705258797562394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2-AF49-A9B7-F42394ED8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554864"/>
        <c:axId val="932773632"/>
      </c:lineChart>
      <c:catAx>
        <c:axId val="836554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73632"/>
        <c:crosses val="autoZero"/>
        <c:auto val="1"/>
        <c:lblAlgn val="ctr"/>
        <c:lblOffset val="100"/>
        <c:noMultiLvlLbl val="0"/>
      </c:catAx>
      <c:valAx>
        <c:axId val="9327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'M7_24 Gurobi Solution'!$T$21:$T$44</c:f>
              <c:numCache>
                <c:formatCode>0.00</c:formatCode>
                <c:ptCount val="24"/>
                <c:pt idx="0">
                  <c:v>6.8746794520547994E-2</c:v>
                </c:pt>
                <c:pt idx="1">
                  <c:v>6.4382931506848998E-2</c:v>
                </c:pt>
                <c:pt idx="2">
                  <c:v>6.2238410958903999E-2</c:v>
                </c:pt>
                <c:pt idx="3">
                  <c:v>6.0464136986301001E-2</c:v>
                </c:pt>
                <c:pt idx="4">
                  <c:v>6.0655534246575001E-2</c:v>
                </c:pt>
                <c:pt idx="5">
                  <c:v>6.5132136986301006E-2</c:v>
                </c:pt>
                <c:pt idx="6">
                  <c:v>7.3826082191780995E-2</c:v>
                </c:pt>
                <c:pt idx="7">
                  <c:v>7.6148794520547999E-2</c:v>
                </c:pt>
                <c:pt idx="8">
                  <c:v>6.9382712328766999E-2</c:v>
                </c:pt>
                <c:pt idx="9">
                  <c:v>5.6760082191780997E-2</c:v>
                </c:pt>
                <c:pt idx="10">
                  <c:v>4.6949369863013998E-2</c:v>
                </c:pt>
                <c:pt idx="11">
                  <c:v>4.1846739726027003E-2</c:v>
                </c:pt>
                <c:pt idx="12">
                  <c:v>3.9593726027396997E-2</c:v>
                </c:pt>
                <c:pt idx="13">
                  <c:v>3.7885123287670998E-2</c:v>
                </c:pt>
                <c:pt idx="14">
                  <c:v>3.6840931506849001E-2</c:v>
                </c:pt>
                <c:pt idx="15">
                  <c:v>3.8253698630137001E-2</c:v>
                </c:pt>
                <c:pt idx="16">
                  <c:v>4.6423205479452001E-2</c:v>
                </c:pt>
                <c:pt idx="17">
                  <c:v>5.9484767123287999E-2</c:v>
                </c:pt>
                <c:pt idx="18">
                  <c:v>7.6155178082191993E-2</c:v>
                </c:pt>
                <c:pt idx="19">
                  <c:v>9.0286438356163998E-2</c:v>
                </c:pt>
                <c:pt idx="20">
                  <c:v>9.9023506849315004E-2</c:v>
                </c:pt>
                <c:pt idx="21">
                  <c:v>9.0372109589041003E-2</c:v>
                </c:pt>
                <c:pt idx="22">
                  <c:v>8.1188794520548002E-2</c:v>
                </c:pt>
                <c:pt idx="23">
                  <c:v>7.4767232876711998E-2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6-CF4F-A2FD-23A6C9A1C33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'M7_24 Gurobi Solution'!$U$21:$U$44</c:f>
              <c:numCache>
                <c:formatCode>0.00</c:formatCode>
                <c:ptCount val="24"/>
                <c:pt idx="0">
                  <c:v>6.8746794520547994E-2</c:v>
                </c:pt>
                <c:pt idx="1">
                  <c:v>6.4382931506848998E-2</c:v>
                </c:pt>
                <c:pt idx="2">
                  <c:v>6.2238410958903999E-2</c:v>
                </c:pt>
                <c:pt idx="3">
                  <c:v>6.0464136986301001E-2</c:v>
                </c:pt>
                <c:pt idx="4">
                  <c:v>6.0655534246575001E-2</c:v>
                </c:pt>
                <c:pt idx="5">
                  <c:v>6.5132136986301006E-2</c:v>
                </c:pt>
                <c:pt idx="6">
                  <c:v>7.3826082191780995E-2</c:v>
                </c:pt>
                <c:pt idx="7">
                  <c:v>7.6148794520547999E-2</c:v>
                </c:pt>
                <c:pt idx="8">
                  <c:v>6.9382712328766999E-2</c:v>
                </c:pt>
                <c:pt idx="9">
                  <c:v>5.6760082191780997E-2</c:v>
                </c:pt>
                <c:pt idx="10">
                  <c:v>4.6949369863013998E-2</c:v>
                </c:pt>
                <c:pt idx="11">
                  <c:v>4.1846739726027003E-2</c:v>
                </c:pt>
                <c:pt idx="12">
                  <c:v>3.9593726027396997E-2</c:v>
                </c:pt>
                <c:pt idx="13">
                  <c:v>3.7885123287670998E-2</c:v>
                </c:pt>
                <c:pt idx="14">
                  <c:v>3.6840931506849001E-2</c:v>
                </c:pt>
                <c:pt idx="15">
                  <c:v>3.8253698630137001E-2</c:v>
                </c:pt>
                <c:pt idx="16">
                  <c:v>4.6423205479452001E-2</c:v>
                </c:pt>
                <c:pt idx="17">
                  <c:v>5.9484767123287999E-2</c:v>
                </c:pt>
                <c:pt idx="18">
                  <c:v>7.6155178082191993E-2</c:v>
                </c:pt>
                <c:pt idx="19">
                  <c:v>9.0286438356163998E-2</c:v>
                </c:pt>
                <c:pt idx="20">
                  <c:v>0.111661323467865</c:v>
                </c:pt>
                <c:pt idx="21">
                  <c:v>9.0372109589041003E-2</c:v>
                </c:pt>
                <c:pt idx="22">
                  <c:v>8.1188794520548002E-2</c:v>
                </c:pt>
                <c:pt idx="23">
                  <c:v>7.4767232876711998E-2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6-CF4F-A2FD-23A6C9A1C33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'M7_24 Gurobi Solution'!$V$21:$V$44</c:f>
              <c:numCache>
                <c:formatCode>0.00</c:formatCode>
                <c:ptCount val="24"/>
                <c:pt idx="0">
                  <c:v>9.1567299828598986E-2</c:v>
                </c:pt>
                <c:pt idx="1">
                  <c:v>8.7203436814900004E-2</c:v>
                </c:pt>
                <c:pt idx="2">
                  <c:v>8.5058916266954998E-2</c:v>
                </c:pt>
                <c:pt idx="3">
                  <c:v>8.3284642294352007E-2</c:v>
                </c:pt>
                <c:pt idx="4">
                  <c:v>8.3476039554626E-2</c:v>
                </c:pt>
                <c:pt idx="5">
                  <c:v>8.7952642294352013E-2</c:v>
                </c:pt>
                <c:pt idx="6">
                  <c:v>9.6646587499831987E-2</c:v>
                </c:pt>
                <c:pt idx="7">
                  <c:v>9.8969299828599006E-2</c:v>
                </c:pt>
                <c:pt idx="8">
                  <c:v>9.0457083634007604E-2</c:v>
                </c:pt>
                <c:pt idx="9">
                  <c:v>8.8748430491131999E-2</c:v>
                </c:pt>
                <c:pt idx="10">
                  <c:v>6.9140017297981499E-2</c:v>
                </c:pt>
                <c:pt idx="11">
                  <c:v>6.4037387160994497E-2</c:v>
                </c:pt>
                <c:pt idx="12">
                  <c:v>6.1784373462364497E-2</c:v>
                </c:pt>
                <c:pt idx="13">
                  <c:v>6.0075770722638498E-2</c:v>
                </c:pt>
                <c:pt idx="14">
                  <c:v>5.7915302812089606E-2</c:v>
                </c:pt>
                <c:pt idx="15">
                  <c:v>5.9328069935377606E-2</c:v>
                </c:pt>
                <c:pt idx="16">
                  <c:v>6.7497576784692606E-2</c:v>
                </c:pt>
                <c:pt idx="17">
                  <c:v>8.0559138428528604E-2</c:v>
                </c:pt>
                <c:pt idx="18">
                  <c:v>0.14818966352840399</c:v>
                </c:pt>
                <c:pt idx="19">
                  <c:v>0.141504682517958</c:v>
                </c:pt>
                <c:pt idx="20">
                  <c:v>0.15024175101110901</c:v>
                </c:pt>
                <c:pt idx="21">
                  <c:v>0.14159035375083501</c:v>
                </c:pt>
                <c:pt idx="22">
                  <c:v>0.10226316582578861</c:v>
                </c:pt>
                <c:pt idx="23">
                  <c:v>9.5841604181952603E-2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B6-CF4F-A2FD-23A6C9A1C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6671552"/>
        <c:axId val="826486864"/>
      </c:lineChart>
      <c:catAx>
        <c:axId val="826671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486864"/>
        <c:crosses val="autoZero"/>
        <c:auto val="1"/>
        <c:lblAlgn val="ctr"/>
        <c:lblOffset val="100"/>
        <c:noMultiLvlLbl val="0"/>
      </c:catAx>
      <c:valAx>
        <c:axId val="8264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7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82222468670289"/>
          <c:y val="6.1287878787878815E-2"/>
          <c:w val="0.73953458282503415"/>
          <c:h val="0.589671319494154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'M7_24 Gams Solution '!$M$21:$M$42</c:f>
              <c:numCache>
                <c:formatCode>0.00</c:formatCode>
                <c:ptCount val="22"/>
                <c:pt idx="0">
                  <c:v>100.0000000001514</c:v>
                </c:pt>
                <c:pt idx="1">
                  <c:v>100.0000000001219</c:v>
                </c:pt>
                <c:pt idx="2">
                  <c:v>100.0000000001</c:v>
                </c:pt>
                <c:pt idx="3">
                  <c:v>100.0000000000818</c:v>
                </c:pt>
                <c:pt idx="4">
                  <c:v>100.0000000000632</c:v>
                </c:pt>
                <c:pt idx="5">
                  <c:v>100.00000000002611</c:v>
                </c:pt>
                <c:pt idx="6">
                  <c:v>100.00000000002019</c:v>
                </c:pt>
                <c:pt idx="7">
                  <c:v>100.00000000001251</c:v>
                </c:pt>
                <c:pt idx="8">
                  <c:v>100.0000000000077</c:v>
                </c:pt>
                <c:pt idx="9">
                  <c:v>155.97912393984669</c:v>
                </c:pt>
                <c:pt idx="10">
                  <c:v>268.18353828001261</c:v>
                </c:pt>
                <c:pt idx="11">
                  <c:v>513.03218614682044</c:v>
                </c:pt>
                <c:pt idx="12">
                  <c:v>885.03218614629293</c:v>
                </c:pt>
                <c:pt idx="13">
                  <c:v>1257.0321861461521</c:v>
                </c:pt>
                <c:pt idx="14">
                  <c:v>1613.4706444141441</c:v>
                </c:pt>
                <c:pt idx="15">
                  <c:v>1899.999999999985</c:v>
                </c:pt>
                <c:pt idx="16">
                  <c:v>1899.999999999957</c:v>
                </c:pt>
                <c:pt idx="17">
                  <c:v>1899.999999997164</c:v>
                </c:pt>
                <c:pt idx="18">
                  <c:v>1694.9370204142231</c:v>
                </c:pt>
                <c:pt idx="19">
                  <c:v>1282.5658863936189</c:v>
                </c:pt>
                <c:pt idx="20">
                  <c:v>870.19475237302299</c:v>
                </c:pt>
                <c:pt idx="21">
                  <c:v>457.82361835243307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B-A84A-8D89-5DE2351CCD3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'M7_24 Gams Solution '!$N$21:$N$42</c:f>
              <c:numCache>
                <c:formatCode>0.00</c:formatCode>
                <c:ptCount val="22"/>
                <c:pt idx="0">
                  <c:v>140.00000000006449</c:v>
                </c:pt>
                <c:pt idx="1">
                  <c:v>140.00000000004741</c:v>
                </c:pt>
                <c:pt idx="2">
                  <c:v>140.0000000000322</c:v>
                </c:pt>
                <c:pt idx="3">
                  <c:v>445.96376553919782</c:v>
                </c:pt>
                <c:pt idx="4">
                  <c:v>445.96376553914803</c:v>
                </c:pt>
                <c:pt idx="5">
                  <c:v>445.96376553903201</c:v>
                </c:pt>
                <c:pt idx="6">
                  <c:v>198.43388157055591</c:v>
                </c:pt>
                <c:pt idx="7">
                  <c:v>140.0000000000976</c:v>
                </c:pt>
                <c:pt idx="8">
                  <c:v>140.0000000000056</c:v>
                </c:pt>
                <c:pt idx="9">
                  <c:v>234.92649574059291</c:v>
                </c:pt>
                <c:pt idx="10">
                  <c:v>404.70503852548433</c:v>
                </c:pt>
                <c:pt idx="11">
                  <c:v>608.49023591035029</c:v>
                </c:pt>
                <c:pt idx="12">
                  <c:v>1202.115363787344</c:v>
                </c:pt>
                <c:pt idx="13">
                  <c:v>1881.076685601508</c:v>
                </c:pt>
                <c:pt idx="14">
                  <c:v>2323.322670068404</c:v>
                </c:pt>
                <c:pt idx="15">
                  <c:v>2659.99999999999</c:v>
                </c:pt>
                <c:pt idx="16">
                  <c:v>2659.99999999997</c:v>
                </c:pt>
                <c:pt idx="17">
                  <c:v>2659.9999999998772</c:v>
                </c:pt>
                <c:pt idx="18">
                  <c:v>2600.8737790661312</c:v>
                </c:pt>
                <c:pt idx="19">
                  <c:v>1805.1018663786899</c:v>
                </c:pt>
                <c:pt idx="20">
                  <c:v>920.89134006291476</c:v>
                </c:pt>
                <c:pt idx="21">
                  <c:v>140.00000000021299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BB-A84A-8D89-5DE2351CC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726704"/>
        <c:axId val="933729088"/>
      </c:lineChart>
      <c:catAx>
        <c:axId val="93372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29088"/>
        <c:crosses val="autoZero"/>
        <c:auto val="1"/>
        <c:lblAlgn val="ctr"/>
        <c:lblOffset val="100"/>
        <c:noMultiLvlLbl val="0"/>
      </c:catAx>
      <c:valAx>
        <c:axId val="9337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2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P_CDS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8648293963255"/>
          <c:y val="3.7453703703703718E-2"/>
          <c:w val="0.8585579615048119"/>
          <c:h val="0.601702594552730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'M7_24 Gams Solution '!$X$21:$X$44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10.04882680479456</c:v>
                </c:pt>
                <c:pt idx="7">
                  <c:v>94.044604159817197</c:v>
                </c:pt>
                <c:pt idx="8">
                  <c:v>7.2957661586756331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53.698761428133572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85.942659865588297</c:v>
                </c:pt>
                <c:pt idx="23">
                  <c:v>103.79630181484811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D-BC44-9947-82F88C45C63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'M7_24 Gams Solution '!$Y$21:$Y$44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90.705258797562465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D-BC44-9947-82F88C45C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554864"/>
        <c:axId val="932773632"/>
      </c:lineChart>
      <c:catAx>
        <c:axId val="836554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73632"/>
        <c:crosses val="autoZero"/>
        <c:auto val="1"/>
        <c:lblAlgn val="ctr"/>
        <c:lblOffset val="100"/>
        <c:noMultiLvlLbl val="0"/>
      </c:catAx>
      <c:valAx>
        <c:axId val="9327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Epsilon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'M7_24 Gams Solution '!$T$21:$T$44</c:f>
              <c:numCache>
                <c:formatCode>0.00</c:formatCode>
                <c:ptCount val="24"/>
                <c:pt idx="0">
                  <c:v>6.8746794520547994E-2</c:v>
                </c:pt>
                <c:pt idx="1">
                  <c:v>6.4382931506848998E-2</c:v>
                </c:pt>
                <c:pt idx="2">
                  <c:v>6.2238410958903999E-2</c:v>
                </c:pt>
                <c:pt idx="3">
                  <c:v>6.0464136986301001E-2</c:v>
                </c:pt>
                <c:pt idx="4">
                  <c:v>6.0655534246575001E-2</c:v>
                </c:pt>
                <c:pt idx="5">
                  <c:v>6.5132136986301006E-2</c:v>
                </c:pt>
                <c:pt idx="6">
                  <c:v>7.3826082191780995E-2</c:v>
                </c:pt>
                <c:pt idx="7">
                  <c:v>7.6148794520547999E-2</c:v>
                </c:pt>
                <c:pt idx="8">
                  <c:v>6.9382712328766999E-2</c:v>
                </c:pt>
                <c:pt idx="9">
                  <c:v>5.6760082191780997E-2</c:v>
                </c:pt>
                <c:pt idx="10">
                  <c:v>4.6949369863013998E-2</c:v>
                </c:pt>
                <c:pt idx="11">
                  <c:v>4.1846739726027003E-2</c:v>
                </c:pt>
                <c:pt idx="12">
                  <c:v>3.9593726027396997E-2</c:v>
                </c:pt>
                <c:pt idx="13">
                  <c:v>3.7885123287670998E-2</c:v>
                </c:pt>
                <c:pt idx="14">
                  <c:v>3.6840931506849001E-2</c:v>
                </c:pt>
                <c:pt idx="15">
                  <c:v>3.8253698630137001E-2</c:v>
                </c:pt>
                <c:pt idx="16">
                  <c:v>4.6423205479452001E-2</c:v>
                </c:pt>
                <c:pt idx="17">
                  <c:v>5.9484767123287999E-2</c:v>
                </c:pt>
                <c:pt idx="18">
                  <c:v>7.6155178082191993E-2</c:v>
                </c:pt>
                <c:pt idx="19">
                  <c:v>9.0286438356163998E-2</c:v>
                </c:pt>
                <c:pt idx="20">
                  <c:v>9.9023506849315004E-2</c:v>
                </c:pt>
                <c:pt idx="21">
                  <c:v>9.0372109589041003E-2</c:v>
                </c:pt>
                <c:pt idx="22">
                  <c:v>8.1188794520548002E-2</c:v>
                </c:pt>
                <c:pt idx="23">
                  <c:v>7.4767232876711998E-2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E-1548-B6CF-BBA5E8A367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'M7_24 Gams Solution '!$U$21:$U$44</c:f>
              <c:numCache>
                <c:formatCode>0.00</c:formatCode>
                <c:ptCount val="24"/>
                <c:pt idx="0">
                  <c:v>6.8746794520547994E-2</c:v>
                </c:pt>
                <c:pt idx="1">
                  <c:v>6.4382931506848998E-2</c:v>
                </c:pt>
                <c:pt idx="2">
                  <c:v>6.2238410958903999E-2</c:v>
                </c:pt>
                <c:pt idx="3">
                  <c:v>6.0464136986301001E-2</c:v>
                </c:pt>
                <c:pt idx="4">
                  <c:v>6.0655534246575001E-2</c:v>
                </c:pt>
                <c:pt idx="5">
                  <c:v>6.5132136986301006E-2</c:v>
                </c:pt>
                <c:pt idx="6">
                  <c:v>7.5746221956813353E-2</c:v>
                </c:pt>
                <c:pt idx="7">
                  <c:v>8.2177322679546028E-2</c:v>
                </c:pt>
                <c:pt idx="8">
                  <c:v>7.2797190878841261E-2</c:v>
                </c:pt>
                <c:pt idx="9">
                  <c:v>5.6760082191780997E-2</c:v>
                </c:pt>
                <c:pt idx="10">
                  <c:v>4.6949369863013998E-2</c:v>
                </c:pt>
                <c:pt idx="11">
                  <c:v>4.1846739726027003E-2</c:v>
                </c:pt>
                <c:pt idx="12">
                  <c:v>3.9593726027396997E-2</c:v>
                </c:pt>
                <c:pt idx="13">
                  <c:v>3.7885123287670998E-2</c:v>
                </c:pt>
                <c:pt idx="14">
                  <c:v>3.6840931506849001E-2</c:v>
                </c:pt>
                <c:pt idx="15">
                  <c:v>3.8253698630137001E-2</c:v>
                </c:pt>
                <c:pt idx="16">
                  <c:v>4.6423205479452001E-2</c:v>
                </c:pt>
                <c:pt idx="17">
                  <c:v>5.9484767123287999E-2</c:v>
                </c:pt>
                <c:pt idx="18">
                  <c:v>9.3079973940292549E-2</c:v>
                </c:pt>
                <c:pt idx="19">
                  <c:v>9.0286438356163998E-2</c:v>
                </c:pt>
                <c:pt idx="20">
                  <c:v>0.13769584453506961</c:v>
                </c:pt>
                <c:pt idx="21">
                  <c:v>9.0372109589041003E-2</c:v>
                </c:pt>
                <c:pt idx="22">
                  <c:v>8.3920614430084889E-2</c:v>
                </c:pt>
                <c:pt idx="23">
                  <c:v>8.0011483170309747E-2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7E-1548-B6CF-BBA5E8A367C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'M7_24 Gams Solution '!$V$21:$V$44</c:f>
              <c:numCache>
                <c:formatCode>0.00</c:formatCode>
                <c:ptCount val="24"/>
                <c:pt idx="0">
                  <c:v>9.1567299828598986E-2</c:v>
                </c:pt>
                <c:pt idx="1">
                  <c:v>8.7203436814900004E-2</c:v>
                </c:pt>
                <c:pt idx="2">
                  <c:v>8.5058916266954998E-2</c:v>
                </c:pt>
                <c:pt idx="3">
                  <c:v>8.3284642294352007E-2</c:v>
                </c:pt>
                <c:pt idx="4">
                  <c:v>8.3476039554626E-2</c:v>
                </c:pt>
                <c:pt idx="5">
                  <c:v>8.7952642294352013E-2</c:v>
                </c:pt>
                <c:pt idx="6">
                  <c:v>9.6646587499831987E-2</c:v>
                </c:pt>
                <c:pt idx="7">
                  <c:v>9.8969299828599006E-2</c:v>
                </c:pt>
                <c:pt idx="8">
                  <c:v>9.0457083634007604E-2</c:v>
                </c:pt>
                <c:pt idx="9">
                  <c:v>8.8748430491131999E-2</c:v>
                </c:pt>
                <c:pt idx="10">
                  <c:v>6.9140017297981499E-2</c:v>
                </c:pt>
                <c:pt idx="11">
                  <c:v>6.4037387160994497E-2</c:v>
                </c:pt>
                <c:pt idx="12">
                  <c:v>6.1784373462364497E-2</c:v>
                </c:pt>
                <c:pt idx="13">
                  <c:v>6.0075770722638498E-2</c:v>
                </c:pt>
                <c:pt idx="14">
                  <c:v>5.7915302812089606E-2</c:v>
                </c:pt>
                <c:pt idx="15">
                  <c:v>5.9328069935377606E-2</c:v>
                </c:pt>
                <c:pt idx="16">
                  <c:v>6.7497576784692606E-2</c:v>
                </c:pt>
                <c:pt idx="17">
                  <c:v>8.0559138428528604E-2</c:v>
                </c:pt>
                <c:pt idx="18">
                  <c:v>0.14818966352840399</c:v>
                </c:pt>
                <c:pt idx="19">
                  <c:v>0.141504682517958</c:v>
                </c:pt>
                <c:pt idx="20">
                  <c:v>0.15024175101110901</c:v>
                </c:pt>
                <c:pt idx="21">
                  <c:v>0.14159035375083501</c:v>
                </c:pt>
                <c:pt idx="22">
                  <c:v>0.10226316582578861</c:v>
                </c:pt>
                <c:pt idx="23">
                  <c:v>9.5841604181952603E-2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7E-1548-B6CF-BBA5E8A36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916336"/>
        <c:axId val="919877984"/>
      </c:lineChart>
      <c:catAx>
        <c:axId val="93391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77984"/>
        <c:crosses val="autoZero"/>
        <c:auto val="1"/>
        <c:lblAlgn val="ctr"/>
        <c:lblOffset val="100"/>
        <c:noMultiLvlLbl val="0"/>
      </c:catAx>
      <c:valAx>
        <c:axId val="9198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91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Sheet3!$P$21:$P$44</c:f>
              <c:numCache>
                <c:formatCode>0.00</c:formatCode>
                <c:ptCount val="24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445.963765538865</c:v>
                </c:pt>
                <c:pt idx="4">
                  <c:v>445.963765538865</c:v>
                </c:pt>
                <c:pt idx="5">
                  <c:v>445.963765538865</c:v>
                </c:pt>
                <c:pt idx="6">
                  <c:v>198.43388157041801</c:v>
                </c:pt>
                <c:pt idx="7">
                  <c:v>140</c:v>
                </c:pt>
                <c:pt idx="8">
                  <c:v>140</c:v>
                </c:pt>
                <c:pt idx="9">
                  <c:v>234.92649574081199</c:v>
                </c:pt>
                <c:pt idx="10">
                  <c:v>404.705038525784</c:v>
                </c:pt>
                <c:pt idx="11">
                  <c:v>608.49023591067998</c:v>
                </c:pt>
                <c:pt idx="12">
                  <c:v>1120.5305917865101</c:v>
                </c:pt>
                <c:pt idx="13">
                  <c:v>1881.0766856006901</c:v>
                </c:pt>
                <c:pt idx="14">
                  <c:v>2323.3226700679402</c:v>
                </c:pt>
                <c:pt idx="15">
                  <c:v>2660</c:v>
                </c:pt>
                <c:pt idx="16">
                  <c:v>2660</c:v>
                </c:pt>
                <c:pt idx="17">
                  <c:v>2660</c:v>
                </c:pt>
                <c:pt idx="18">
                  <c:v>2600.8737790663199</c:v>
                </c:pt>
                <c:pt idx="19">
                  <c:v>1805.1018663786799</c:v>
                </c:pt>
                <c:pt idx="20">
                  <c:v>920.89134006289703</c:v>
                </c:pt>
                <c:pt idx="21">
                  <c:v>140</c:v>
                </c:pt>
                <c:pt idx="22">
                  <c:v>140</c:v>
                </c:pt>
                <c:pt idx="23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B-A645-BAA5-A1190A729C9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Sheet3!$Q$21:$Q$44</c:f>
              <c:numCache>
                <c:formatCode>0.00</c:formatCode>
                <c:ptCount val="24"/>
                <c:pt idx="0">
                  <c:v>140.00000000006449</c:v>
                </c:pt>
                <c:pt idx="1">
                  <c:v>140.00000000004741</c:v>
                </c:pt>
                <c:pt idx="2">
                  <c:v>140.0000000000322</c:v>
                </c:pt>
                <c:pt idx="3">
                  <c:v>445.96376553919782</c:v>
                </c:pt>
                <c:pt idx="4">
                  <c:v>445.96376553914803</c:v>
                </c:pt>
                <c:pt idx="5">
                  <c:v>445.96376553903201</c:v>
                </c:pt>
                <c:pt idx="6">
                  <c:v>198.43388157055591</c:v>
                </c:pt>
                <c:pt idx="7">
                  <c:v>140.0000000000976</c:v>
                </c:pt>
                <c:pt idx="8">
                  <c:v>140.0000000000056</c:v>
                </c:pt>
                <c:pt idx="9">
                  <c:v>234.92649574059291</c:v>
                </c:pt>
                <c:pt idx="10">
                  <c:v>404.70503852548433</c:v>
                </c:pt>
                <c:pt idx="11">
                  <c:v>608.49023591035029</c:v>
                </c:pt>
                <c:pt idx="12">
                  <c:v>1202.115363787344</c:v>
                </c:pt>
                <c:pt idx="13">
                  <c:v>1881.076685601508</c:v>
                </c:pt>
                <c:pt idx="14">
                  <c:v>2323.322670068404</c:v>
                </c:pt>
                <c:pt idx="15">
                  <c:v>2659.99999999999</c:v>
                </c:pt>
                <c:pt idx="16">
                  <c:v>2659.99999999997</c:v>
                </c:pt>
                <c:pt idx="17">
                  <c:v>2659.9999999998772</c:v>
                </c:pt>
                <c:pt idx="18">
                  <c:v>2600.8737790661312</c:v>
                </c:pt>
                <c:pt idx="19">
                  <c:v>1805.1018663786899</c:v>
                </c:pt>
                <c:pt idx="20">
                  <c:v>920.89134006291476</c:v>
                </c:pt>
                <c:pt idx="21">
                  <c:v>140.00000000021299</c:v>
                </c:pt>
                <c:pt idx="22">
                  <c:v>140.0000000000631</c:v>
                </c:pt>
                <c:pt idx="23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B-A645-BAA5-A1190A729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773008"/>
        <c:axId val="1101774736"/>
      </c:lineChart>
      <c:catAx>
        <c:axId val="110177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74736"/>
        <c:crosses val="autoZero"/>
        <c:auto val="1"/>
        <c:lblAlgn val="ctr"/>
        <c:lblOffset val="100"/>
        <c:noMultiLvlLbl val="0"/>
      </c:catAx>
      <c:valAx>
        <c:axId val="11017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7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1117600</xdr:colOff>
      <xdr:row>0</xdr:row>
      <xdr:rowOff>0</xdr:rowOff>
    </xdr:from>
    <xdr:to>
      <xdr:col>7</xdr:col>
      <xdr:colOff>508000</xdr:colOff>
      <xdr:row>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BE291-3197-2E4E-A87A-8AEFF349E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215900</xdr:colOff>
      <xdr:row>0</xdr:row>
      <xdr:rowOff>165100</xdr:rowOff>
    </xdr:from>
    <xdr:to>
      <xdr:col>13</xdr:col>
      <xdr:colOff>393700</xdr:colOff>
      <xdr:row>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ACD1F2-081E-FF42-944D-A7FDE77DB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198438</xdr:colOff>
      <xdr:row>0</xdr:row>
      <xdr:rowOff>80963</xdr:rowOff>
    </xdr:from>
    <xdr:to>
      <xdr:col>23</xdr:col>
      <xdr:colOff>547688</xdr:colOff>
      <xdr:row>13</xdr:row>
      <xdr:rowOff>77788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F72718-025F-3337-6737-869C8C9C6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1117600</xdr:colOff>
      <xdr:row>0</xdr:row>
      <xdr:rowOff>0</xdr:rowOff>
    </xdr:from>
    <xdr:to>
      <xdr:col>7</xdr:col>
      <xdr:colOff>508000</xdr:colOff>
      <xdr:row>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DF825-90B1-E1EF-2435-C652F501D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215900</xdr:colOff>
      <xdr:row>0</xdr:row>
      <xdr:rowOff>165100</xdr:rowOff>
    </xdr:from>
    <xdr:to>
      <xdr:col>13</xdr:col>
      <xdr:colOff>393700</xdr:colOff>
      <xdr:row>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A63B67-AFEA-6E06-9F0B-128B9C894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103188</xdr:colOff>
      <xdr:row>0</xdr:row>
      <xdr:rowOff>1588</xdr:rowOff>
    </xdr:from>
    <xdr:to>
      <xdr:col>26</xdr:col>
      <xdr:colOff>166688</xdr:colOff>
      <xdr:row>12</xdr:row>
      <xdr:rowOff>236538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B3823B-D122-9D0E-FD96-F79668BF0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44</xdr:row>
      <xdr:rowOff>69850</xdr:rowOff>
    </xdr:from>
    <xdr:to>
      <xdr:col>11</xdr:col>
      <xdr:colOff>685800</xdr:colOff>
      <xdr:row>57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AA9A4-1148-E00B-0555-54B696678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.deoliveiradejes/Dropbox%20(Personal)/Maestria%20en%20Energia%20(MISE)/MISE_E4/MISE_E4-main/M1.7_Energy_Communitty_Dispatch/Ejemplo_1_MINLP/energy_community_CDS/24h/Gams/M1_7_E1e_export.xlsx" TargetMode="External"/><Relationship Id="rId1" Type="http://schemas.openxmlformats.org/officeDocument/2006/relationships/externalLinkPath" Target="Gams/M1_7_E1e_ex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.deoliveiradejes/Dropbox%20(Personal)/Maestria%20en%20Energia%20(MISE)/MISE_E4/MISE_E4-main/M1.7_Energy_Communitty_Dispatch/Ejemplo_1_MINLP/energy_community_CDS/24h/Gurobi/M1_7_E1e_Gurobi.xlsx" TargetMode="External"/><Relationship Id="rId1" Type="http://schemas.openxmlformats.org/officeDocument/2006/relationships/externalLinkPath" Target="Gurobi/M1_7_E1e_Gurob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"/>
      <sheetName val="data"/>
      <sheetName val="pbmax1"/>
      <sheetName val="Plu1"/>
      <sheetName val="pbmax2"/>
      <sheetName val="Plu2"/>
      <sheetName val="npv"/>
      <sheetName val="Benefit1"/>
      <sheetName val="Capacity1"/>
      <sheetName val="Energy1"/>
      <sheetName val="CashFlow1"/>
      <sheetName val="npv1"/>
      <sheetName val="Base1"/>
      <sheetName val="Benefit2"/>
      <sheetName val="Capacity2"/>
      <sheetName val="Energy2"/>
      <sheetName val="CashFlow2"/>
      <sheetName val="npv2"/>
      <sheetName val="Base2"/>
      <sheetName val="IndustryProfit"/>
      <sheetName val="CW"/>
      <sheetName val="EP1"/>
      <sheetName val="EP2"/>
      <sheetName val="E1"/>
      <sheetName val="E2"/>
      <sheetName val="APA"/>
      <sheetName val="I1_Profit"/>
      <sheetName val="I2_Profit"/>
      <sheetName val="AP1"/>
      <sheetName val="AP2"/>
      <sheetName val="IndustryProfitnoCDS_BESS_PV1"/>
      <sheetName val="IndustryProfitnoCDS_BESS_PV2"/>
      <sheetName val="SOC1"/>
      <sheetName val="Pd1"/>
      <sheetName val="Pc1"/>
      <sheetName val="Pb1"/>
      <sheetName val="Ps1"/>
      <sheetName val="Investment1"/>
      <sheetName val="Wload1"/>
      <sheetName val="Wpvtot1"/>
      <sheetName val="Wimport1"/>
      <sheetName val="Wexport1"/>
      <sheetName val="WcargaBESS1"/>
      <sheetName val="WdescargaBESS1"/>
      <sheetName val="SOC2"/>
      <sheetName val="Pd2"/>
      <sheetName val="Pc2"/>
      <sheetName val="Pb2"/>
      <sheetName val="Ps2"/>
      <sheetName val="Investment2"/>
      <sheetName val="Wload2"/>
      <sheetName val="Wpvtot2"/>
      <sheetName val="Wimport2"/>
      <sheetName val="Wexport2"/>
      <sheetName val="WcargaBESS2"/>
      <sheetName val="WdescargaBESS2"/>
      <sheetName val="P12CDS"/>
      <sheetName val="P21CDS"/>
      <sheetName val="epsilon"/>
      <sheetName val="delta"/>
      <sheetName val="w11"/>
      <sheetName val="w31"/>
      <sheetName val="w12"/>
      <sheetName val="w32"/>
      <sheetName val="v12"/>
      <sheetName val="Ppvmax1"/>
      <sheetName val="Plmax1"/>
      <sheetName val="SOC01"/>
      <sheetName val="C1"/>
      <sheetName val="eff_c1"/>
      <sheetName val="eff_d1"/>
      <sheetName val="R_c1"/>
      <sheetName val="R_d1"/>
      <sheetName val="DoD1"/>
      <sheetName val="Pmax1"/>
      <sheetName val="Capacity01"/>
      <sheetName val="Ppvmax2"/>
      <sheetName val="Plmax2"/>
      <sheetName val="SOC02"/>
      <sheetName val="C2"/>
      <sheetName val="eff_c2"/>
      <sheetName val="eff_d2"/>
      <sheetName val="R_c2"/>
      <sheetName val="R_d2"/>
      <sheetName val="DoD2"/>
      <sheetName val="Pmax2"/>
      <sheetName val="Capacity02"/>
      <sheetName val="kappaP1"/>
      <sheetName val="kappaP2"/>
      <sheetName val="kappaP3"/>
      <sheetName val="kappaP4"/>
      <sheetName val="kappaP5"/>
      <sheetName val="kappaP6"/>
      <sheetName val="CAPEXpv"/>
      <sheetName val="CAPEX_BESS"/>
      <sheetName val="CAPEX_BESS_inverter"/>
      <sheetName val="crf"/>
      <sheetName val="varphib"/>
      <sheetName val="varphis"/>
      <sheetName val="PmaxCDS"/>
      <sheetName val="CAPEX_I1"/>
      <sheetName val="CAPEX_I2"/>
      <sheetName val="BcalcA"/>
      <sheetName val="Bcalc1A"/>
      <sheetName val="Bcalc2A"/>
      <sheetName val="balanceA"/>
      <sheetName val="r1A"/>
      <sheetName val="r2A"/>
      <sheetName val="r3A"/>
      <sheetName val="r4A"/>
      <sheetName val="r5A"/>
      <sheetName val="r6A"/>
      <sheetName val="r7A"/>
      <sheetName val="r8A"/>
      <sheetName val="r9A"/>
      <sheetName val="r10A"/>
      <sheetName val="r11A"/>
      <sheetName val="r12A"/>
      <sheetName val="r13A"/>
      <sheetName val="r14A"/>
      <sheetName val="r15A"/>
      <sheetName val="r16A"/>
      <sheetName val="BcalcB"/>
      <sheetName val="Bcalc1B"/>
      <sheetName val="Bcalc2B"/>
      <sheetName val="balanceB"/>
      <sheetName val="r1B"/>
      <sheetName val="r2B"/>
      <sheetName val="r3B"/>
      <sheetName val="r4B"/>
      <sheetName val="r5B"/>
      <sheetName val="r6B"/>
      <sheetName val="r7B"/>
      <sheetName val="r8B"/>
      <sheetName val="r9B"/>
      <sheetName val="r10B"/>
      <sheetName val="r11B"/>
      <sheetName val="r12B"/>
      <sheetName val="r13B"/>
      <sheetName val="r14B"/>
      <sheetName val="r15B"/>
      <sheetName val="r16B"/>
      <sheetName val="CE0"/>
      <sheetName val="CE1"/>
      <sheetName val="CE2"/>
      <sheetName val="CE3"/>
      <sheetName val="CE4"/>
      <sheetName val="CE5"/>
      <sheetName val="CE6"/>
      <sheetName val="CE7"/>
      <sheetName val="CE8"/>
      <sheetName val="CE9"/>
      <sheetName val="CE10"/>
      <sheetName val="CE10b"/>
      <sheetName val="CE11"/>
      <sheetName val="CE12"/>
      <sheetName val="CE13"/>
      <sheetName val="CE14"/>
      <sheetName val="CE15"/>
      <sheetName val="CE16"/>
      <sheetName val="CE17"/>
      <sheetName val="CE18"/>
      <sheetName val="CE19"/>
      <sheetName val="CE20"/>
      <sheetName val="CE21"/>
      <sheetName val="CE22"/>
      <sheetName val="CE23"/>
      <sheetName val="CE24"/>
      <sheetName val="vpn"/>
      <sheetName val="Industry_profit"/>
    </sheetNames>
    <sheetDataSet>
      <sheetData sheetId="0"/>
      <sheetData sheetId="1">
        <row r="1">
          <cell r="C1">
            <v>6.8746794520547994E-2</v>
          </cell>
        </row>
        <row r="2">
          <cell r="C2">
            <v>6.4382931506848998E-2</v>
          </cell>
        </row>
        <row r="3">
          <cell r="C3">
            <v>6.2238410958903999E-2</v>
          </cell>
        </row>
        <row r="4">
          <cell r="C4">
            <v>6.0464136986301001E-2</v>
          </cell>
        </row>
        <row r="5">
          <cell r="C5">
            <v>6.0655534246575001E-2</v>
          </cell>
        </row>
        <row r="6">
          <cell r="C6">
            <v>6.5132136986301006E-2</v>
          </cell>
        </row>
        <row r="7">
          <cell r="C7">
            <v>7.3826082191780995E-2</v>
          </cell>
        </row>
        <row r="8">
          <cell r="C8">
            <v>7.6148794520547999E-2</v>
          </cell>
        </row>
        <row r="9">
          <cell r="C9">
            <v>6.9382712328766999E-2</v>
          </cell>
        </row>
        <row r="10">
          <cell r="C10">
            <v>5.6760082191780997E-2</v>
          </cell>
        </row>
        <row r="11">
          <cell r="C11">
            <v>4.6949369863013998E-2</v>
          </cell>
        </row>
        <row r="12">
          <cell r="C12">
            <v>4.1846739726027003E-2</v>
          </cell>
        </row>
        <row r="13">
          <cell r="C13">
            <v>3.9593726027396997E-2</v>
          </cell>
        </row>
        <row r="14">
          <cell r="C14">
            <v>3.7885123287670998E-2</v>
          </cell>
        </row>
        <row r="15">
          <cell r="C15">
            <v>3.6840931506849001E-2</v>
          </cell>
        </row>
        <row r="16">
          <cell r="C16">
            <v>3.8253698630137001E-2</v>
          </cell>
        </row>
        <row r="17">
          <cell r="C17">
            <v>4.6423205479452001E-2</v>
          </cell>
        </row>
        <row r="18">
          <cell r="C18">
            <v>5.9484767123287999E-2</v>
          </cell>
        </row>
        <row r="19">
          <cell r="C19">
            <v>7.6155178082191993E-2</v>
          </cell>
        </row>
        <row r="20">
          <cell r="C20">
            <v>9.0286438356163998E-2</v>
          </cell>
        </row>
        <row r="21">
          <cell r="C21">
            <v>9.9023506849315004E-2</v>
          </cell>
        </row>
        <row r="22">
          <cell r="C22">
            <v>9.0372109589041003E-2</v>
          </cell>
        </row>
        <row r="23">
          <cell r="C23">
            <v>8.1188794520548002E-2</v>
          </cell>
        </row>
        <row r="24">
          <cell r="C24">
            <v>7.4767232876711998E-2</v>
          </cell>
        </row>
        <row r="25">
          <cell r="C25">
            <v>564.29999999999995</v>
          </cell>
        </row>
        <row r="26">
          <cell r="C26">
            <v>564.29999999999995</v>
          </cell>
        </row>
        <row r="27">
          <cell r="C27">
            <v>564.29999999999995</v>
          </cell>
        </row>
        <row r="28">
          <cell r="C28">
            <v>564.29999999999995</v>
          </cell>
        </row>
        <row r="29">
          <cell r="C29">
            <v>564.29999999999995</v>
          </cell>
        </row>
        <row r="30">
          <cell r="C30">
            <v>564.29999999999995</v>
          </cell>
        </row>
        <row r="31">
          <cell r="C31">
            <v>564.29999999999995</v>
          </cell>
        </row>
        <row r="32">
          <cell r="C32">
            <v>564.29999999999995</v>
          </cell>
        </row>
        <row r="33">
          <cell r="C33">
            <v>338.05515300000002</v>
          </cell>
        </row>
        <row r="34">
          <cell r="C34">
            <v>404.47</v>
          </cell>
        </row>
        <row r="35">
          <cell r="C35">
            <v>442.91</v>
          </cell>
        </row>
        <row r="36">
          <cell r="C36">
            <v>442.91</v>
          </cell>
        </row>
        <row r="37">
          <cell r="C37">
            <v>442.91</v>
          </cell>
        </row>
        <row r="38">
          <cell r="C38">
            <v>442.91</v>
          </cell>
        </row>
        <row r="39">
          <cell r="C39">
            <v>338.05515300000002</v>
          </cell>
        </row>
        <row r="40">
          <cell r="C40">
            <v>338.05515300000002</v>
          </cell>
        </row>
        <row r="41">
          <cell r="C41">
            <v>338.05515300000002</v>
          </cell>
        </row>
        <row r="42">
          <cell r="C42">
            <v>338.05515300000002</v>
          </cell>
        </row>
        <row r="43">
          <cell r="C43">
            <v>504.43</v>
          </cell>
        </row>
        <row r="44">
          <cell r="C44">
            <v>453.96686699999998</v>
          </cell>
        </row>
        <row r="45">
          <cell r="C45">
            <v>453.96686699999998</v>
          </cell>
        </row>
        <row r="46">
          <cell r="C46">
            <v>453.96686699999998</v>
          </cell>
        </row>
        <row r="47">
          <cell r="C47">
            <v>338.05515300000002</v>
          </cell>
        </row>
        <row r="48">
          <cell r="C48">
            <v>338.05515300000002</v>
          </cell>
        </row>
        <row r="49">
          <cell r="C49">
            <v>553.88959999999997</v>
          </cell>
        </row>
        <row r="50">
          <cell r="C50">
            <v>553.88959999999997</v>
          </cell>
        </row>
        <row r="51">
          <cell r="C51">
            <v>553.88959999999997</v>
          </cell>
        </row>
        <row r="52">
          <cell r="C52">
            <v>553.88959999999997</v>
          </cell>
        </row>
        <row r="53">
          <cell r="C53">
            <v>553.88959999999997</v>
          </cell>
        </row>
        <row r="54">
          <cell r="C54">
            <v>553.88959999999997</v>
          </cell>
        </row>
        <row r="55">
          <cell r="C55">
            <v>553.88959999999997</v>
          </cell>
        </row>
        <row r="56">
          <cell r="C56">
            <v>553.88959999999997</v>
          </cell>
        </row>
        <row r="57">
          <cell r="C57">
            <v>379.49779999999998</v>
          </cell>
        </row>
        <row r="58">
          <cell r="C58">
            <v>494.17200000000003</v>
          </cell>
        </row>
        <row r="59">
          <cell r="C59">
            <v>561.32090000000005</v>
          </cell>
        </row>
        <row r="60">
          <cell r="C60">
            <v>561.32090000000005</v>
          </cell>
        </row>
        <row r="61">
          <cell r="C61">
            <v>561.32090000000005</v>
          </cell>
        </row>
        <row r="62">
          <cell r="C62">
            <v>561.32090000000005</v>
          </cell>
        </row>
        <row r="63">
          <cell r="C63">
            <v>379.49779999999998</v>
          </cell>
        </row>
        <row r="64">
          <cell r="C64">
            <v>379.49779999999998</v>
          </cell>
        </row>
        <row r="65">
          <cell r="C65">
            <v>379.49779999999998</v>
          </cell>
        </row>
        <row r="66">
          <cell r="C66">
            <v>379.49779999999998</v>
          </cell>
        </row>
        <row r="67">
          <cell r="C67">
            <v>408.15429999999998</v>
          </cell>
        </row>
        <row r="68">
          <cell r="C68">
            <v>437.71230000000003</v>
          </cell>
        </row>
        <row r="69">
          <cell r="C69">
            <v>437.71230000000003</v>
          </cell>
        </row>
        <row r="70">
          <cell r="C70">
            <v>437.71230000000003</v>
          </cell>
        </row>
        <row r="71">
          <cell r="C71">
            <v>379.49779999999998</v>
          </cell>
        </row>
        <row r="72">
          <cell r="C72">
            <v>379.49779999999998</v>
          </cell>
        </row>
        <row r="73">
          <cell r="C73">
            <v>0.13538862909063701</v>
          </cell>
        </row>
        <row r="74">
          <cell r="C74">
            <v>9.0377249176867E-2</v>
          </cell>
        </row>
        <row r="75">
          <cell r="C75">
            <v>7.6343641406536003E-2</v>
          </cell>
        </row>
        <row r="76">
          <cell r="C76">
            <v>7.5224251241957002E-2</v>
          </cell>
        </row>
        <row r="77">
          <cell r="C77">
            <v>7.4307578750070005E-2</v>
          </cell>
        </row>
        <row r="78">
          <cell r="C78">
            <v>7.3105608680249998E-2</v>
          </cell>
        </row>
        <row r="79">
          <cell r="C79">
            <v>7.3406190056999998E-2</v>
          </cell>
        </row>
        <row r="80">
          <cell r="C80">
            <v>8.5516408757497997E-2</v>
          </cell>
        </row>
        <row r="81">
          <cell r="C81">
            <v>0.883664344082149</v>
          </cell>
        </row>
        <row r="82">
          <cell r="C82">
            <v>1</v>
          </cell>
        </row>
        <row r="83">
          <cell r="C83">
            <v>0.96724587130093598</v>
          </cell>
        </row>
        <row r="84">
          <cell r="C84">
            <v>0.96641023848649898</v>
          </cell>
        </row>
        <row r="85">
          <cell r="C85">
            <v>0.122847383567665</v>
          </cell>
        </row>
        <row r="86">
          <cell r="C86">
            <v>0.89217931568864195</v>
          </cell>
        </row>
        <row r="87">
          <cell r="C87">
            <v>0.968865480059381</v>
          </cell>
        </row>
        <row r="88">
          <cell r="C88">
            <v>0.95918787343118705</v>
          </cell>
        </row>
        <row r="89">
          <cell r="C89">
            <v>0.94729020616541304</v>
          </cell>
        </row>
        <row r="90">
          <cell r="C90">
            <v>0.64728902137480604</v>
          </cell>
        </row>
        <row r="91">
          <cell r="C91">
            <v>0.62796864096223703</v>
          </cell>
        </row>
        <row r="92">
          <cell r="C92">
            <v>0.65933561681976205</v>
          </cell>
        </row>
        <row r="93">
          <cell r="C93">
            <v>0.58159001268910804</v>
          </cell>
        </row>
        <row r="94">
          <cell r="C94">
            <v>0.17921794341677</v>
          </cell>
        </row>
        <row r="95">
          <cell r="C95">
            <v>0.14488306709113699</v>
          </cell>
        </row>
        <row r="96">
          <cell r="C96">
            <v>0.13804101982036199</v>
          </cell>
        </row>
        <row r="97">
          <cell r="C97">
            <v>0.53006128579453204</v>
          </cell>
        </row>
        <row r="98">
          <cell r="C98">
            <v>0.53166123303105495</v>
          </cell>
        </row>
        <row r="99">
          <cell r="C99">
            <v>0.53417602902628303</v>
          </cell>
        </row>
        <row r="100">
          <cell r="C100">
            <v>0.55333478411777104</v>
          </cell>
        </row>
        <row r="101">
          <cell r="C101">
            <v>0.61897351697341296</v>
          </cell>
        </row>
        <row r="102">
          <cell r="C102">
            <v>0.73269814095937902</v>
          </cell>
        </row>
        <row r="103">
          <cell r="C103">
            <v>0.90541044825407002</v>
          </cell>
        </row>
        <row r="104">
          <cell r="C104">
            <v>0.98977531384968997</v>
          </cell>
        </row>
        <row r="105">
          <cell r="C105">
            <v>1</v>
          </cell>
        </row>
        <row r="106">
          <cell r="C106">
            <v>0.980132084762807</v>
          </cell>
        </row>
        <row r="107">
          <cell r="C107">
            <v>0.957725277555312</v>
          </cell>
        </row>
        <row r="108">
          <cell r="C108">
            <v>0.94232365770917104</v>
          </cell>
        </row>
        <row r="109">
          <cell r="C109">
            <v>0.91347581298363301</v>
          </cell>
        </row>
        <row r="110">
          <cell r="C110">
            <v>0.88994595722771397</v>
          </cell>
        </row>
        <row r="111">
          <cell r="C111">
            <v>0.88675027314529797</v>
          </cell>
        </row>
        <row r="112">
          <cell r="C112">
            <v>0.90565629737166398</v>
          </cell>
        </row>
        <row r="113">
          <cell r="C113">
            <v>0.86189016628227</v>
          </cell>
        </row>
        <row r="114">
          <cell r="C114">
            <v>0.70171420130249096</v>
          </cell>
        </row>
        <row r="115">
          <cell r="C115">
            <v>0.35126236464303001</v>
          </cell>
        </row>
        <row r="116">
          <cell r="C116">
            <v>0.33884045483779202</v>
          </cell>
        </row>
        <row r="117">
          <cell r="C117">
            <v>0.31745633376550503</v>
          </cell>
        </row>
        <row r="118">
          <cell r="C118">
            <v>0.29364435105678699</v>
          </cell>
        </row>
        <row r="119">
          <cell r="C119">
            <v>0.27476824436615499</v>
          </cell>
        </row>
        <row r="120">
          <cell r="C120">
            <v>0.33184832382392698</v>
          </cell>
        </row>
        <row r="121">
          <cell r="C121">
            <v>4.749275E-2</v>
          </cell>
        </row>
        <row r="122">
          <cell r="C122">
            <v>0.20003433333333301</v>
          </cell>
        </row>
        <row r="123">
          <cell r="C123">
            <v>0.37194291666666701</v>
          </cell>
        </row>
        <row r="124">
          <cell r="C124">
            <v>0.51218624999999995</v>
          </cell>
        </row>
        <row r="125">
          <cell r="C125">
            <v>0.60512683333333295</v>
          </cell>
        </row>
        <row r="126">
          <cell r="C126">
            <v>0.64530983333333303</v>
          </cell>
        </row>
        <row r="127">
          <cell r="C127">
            <v>0.62725766666666705</v>
          </cell>
        </row>
        <row r="128">
          <cell r="C128">
            <v>0.56879991666666696</v>
          </cell>
        </row>
        <row r="129">
          <cell r="C129">
            <v>0.47320525000000002</v>
          </cell>
        </row>
        <row r="130">
          <cell r="C130">
            <v>0.33716141666666699</v>
          </cell>
        </row>
        <row r="131">
          <cell r="C131">
            <v>0.188570083333333</v>
          </cell>
        </row>
        <row r="132">
          <cell r="C132">
            <v>4.3513583333333002E-2</v>
          </cell>
        </row>
        <row r="133">
          <cell r="C133">
            <v>2.2820505308050999E-2</v>
          </cell>
        </row>
        <row r="134">
          <cell r="C134">
            <v>2.2820505308050999E-2</v>
          </cell>
        </row>
        <row r="135">
          <cell r="C135">
            <v>2.2820505308050999E-2</v>
          </cell>
        </row>
        <row r="136">
          <cell r="C136">
            <v>2.2820505308050999E-2</v>
          </cell>
        </row>
        <row r="137">
          <cell r="C137">
            <v>2.2820505308050999E-2</v>
          </cell>
        </row>
        <row r="138">
          <cell r="C138">
            <v>2.2820505308050999E-2</v>
          </cell>
        </row>
        <row r="139">
          <cell r="C139">
            <v>2.2820505308050999E-2</v>
          </cell>
        </row>
        <row r="140">
          <cell r="C140">
            <v>2.2820505308050999E-2</v>
          </cell>
        </row>
        <row r="141">
          <cell r="C141">
            <v>2.1074371305240602E-2</v>
          </cell>
        </row>
        <row r="142">
          <cell r="C142">
            <v>3.1988348299351002E-2</v>
          </cell>
        </row>
        <row r="143">
          <cell r="C143">
            <v>2.21906474349675E-2</v>
          </cell>
        </row>
        <row r="144">
          <cell r="C144">
            <v>2.21906474349675E-2</v>
          </cell>
        </row>
        <row r="145">
          <cell r="C145">
            <v>2.21906474349675E-2</v>
          </cell>
        </row>
        <row r="146">
          <cell r="C146">
            <v>2.21906474349675E-2</v>
          </cell>
        </row>
        <row r="147">
          <cell r="C147">
            <v>2.1074371305240602E-2</v>
          </cell>
        </row>
        <row r="148">
          <cell r="C148">
            <v>2.1074371305240602E-2</v>
          </cell>
        </row>
        <row r="149">
          <cell r="C149">
            <v>2.1074371305240602E-2</v>
          </cell>
        </row>
        <row r="150">
          <cell r="C150">
            <v>2.1074371305240602E-2</v>
          </cell>
        </row>
        <row r="151">
          <cell r="C151">
            <v>7.2034485446211993E-2</v>
          </cell>
        </row>
        <row r="152">
          <cell r="C152">
            <v>5.1218244161793998E-2</v>
          </cell>
        </row>
        <row r="153">
          <cell r="C153">
            <v>5.1218244161793998E-2</v>
          </cell>
        </row>
        <row r="154">
          <cell r="C154">
            <v>5.1218244161793998E-2</v>
          </cell>
        </row>
        <row r="155">
          <cell r="C155">
            <v>2.1074371305240602E-2</v>
          </cell>
        </row>
        <row r="156">
          <cell r="C156">
            <v>2.1074371305240602E-2</v>
          </cell>
        </row>
      </sheetData>
      <sheetData sheetId="2"/>
      <sheetData sheetId="3"/>
      <sheetData sheetId="4"/>
      <sheetData sheetId="5"/>
      <sheetData sheetId="6">
        <row r="2">
          <cell r="A2">
            <v>792171.66819303716</v>
          </cell>
        </row>
      </sheetData>
      <sheetData sheetId="7">
        <row r="2">
          <cell r="A2">
            <v>-27251.643101966081</v>
          </cell>
        </row>
      </sheetData>
      <sheetData sheetId="8"/>
      <sheetData sheetId="9"/>
      <sheetData sheetId="10"/>
      <sheetData sheetId="11"/>
      <sheetData sheetId="12"/>
      <sheetData sheetId="13">
        <row r="2">
          <cell r="A2">
            <v>-50874.330521116673</v>
          </cell>
        </row>
      </sheetData>
      <sheetData sheetId="14"/>
      <sheetData sheetId="15"/>
      <sheetData sheetId="16"/>
      <sheetData sheetId="17"/>
      <sheetData sheetId="18"/>
      <sheetData sheetId="19">
        <row r="2">
          <cell r="A2">
            <v>225455.3238121912</v>
          </cell>
        </row>
      </sheetData>
      <sheetData sheetId="20"/>
      <sheetData sheetId="21"/>
      <sheetData sheetId="22"/>
      <sheetData sheetId="23">
        <row r="2">
          <cell r="A2">
            <v>5935.8951128889867</v>
          </cell>
        </row>
      </sheetData>
      <sheetData sheetId="24">
        <row r="2">
          <cell r="A2">
            <v>-6748.9913396176789</v>
          </cell>
        </row>
      </sheetData>
      <sheetData sheetId="25">
        <row r="2">
          <cell r="A2">
            <v>813.09622672869114</v>
          </cell>
        </row>
      </sheetData>
      <sheetData sheetId="26">
        <row r="2">
          <cell r="A2">
            <v>92785.901046474522</v>
          </cell>
        </row>
      </sheetData>
      <sheetData sheetId="27"/>
      <sheetData sheetId="28"/>
      <sheetData sheetId="29"/>
      <sheetData sheetId="30">
        <row r="2">
          <cell r="A2">
            <v>114101.64903555111</v>
          </cell>
        </row>
      </sheetData>
      <sheetData sheetId="31">
        <row r="2">
          <cell r="A2">
            <v>190292.74462645181</v>
          </cell>
        </row>
      </sheetData>
      <sheetData sheetId="32">
        <row r="2">
          <cell r="B2">
            <v>100.0000000001514</v>
          </cell>
        </row>
        <row r="3">
          <cell r="B3">
            <v>100.0000000001219</v>
          </cell>
        </row>
        <row r="4">
          <cell r="B4">
            <v>100.0000000001</v>
          </cell>
        </row>
        <row r="5">
          <cell r="B5">
            <v>100.0000000000818</v>
          </cell>
        </row>
        <row r="6">
          <cell r="B6">
            <v>100.0000000000632</v>
          </cell>
        </row>
        <row r="7">
          <cell r="B7">
            <v>100.00000000002611</v>
          </cell>
        </row>
        <row r="8">
          <cell r="B8">
            <v>100.00000000002019</v>
          </cell>
        </row>
        <row r="9">
          <cell r="B9">
            <v>100.00000000001251</v>
          </cell>
        </row>
        <row r="10">
          <cell r="B10">
            <v>100.0000000000077</v>
          </cell>
        </row>
        <row r="11">
          <cell r="B11">
            <v>155.97912393984669</v>
          </cell>
        </row>
        <row r="12">
          <cell r="B12">
            <v>268.18353828001261</v>
          </cell>
        </row>
        <row r="13">
          <cell r="B13">
            <v>513.03218614682044</v>
          </cell>
        </row>
        <row r="14">
          <cell r="B14">
            <v>885.03218614629293</v>
          </cell>
        </row>
        <row r="15">
          <cell r="B15">
            <v>1257.0321861461521</v>
          </cell>
        </row>
        <row r="16">
          <cell r="B16">
            <v>1613.4706444141441</v>
          </cell>
        </row>
        <row r="17">
          <cell r="B17">
            <v>1899.999999999985</v>
          </cell>
        </row>
        <row r="18">
          <cell r="B18">
            <v>1899.999999999957</v>
          </cell>
        </row>
        <row r="19">
          <cell r="B19">
            <v>1899.999999997164</v>
          </cell>
        </row>
        <row r="20">
          <cell r="B20">
            <v>1694.9370204142231</v>
          </cell>
        </row>
        <row r="21">
          <cell r="B21">
            <v>1282.5658863936189</v>
          </cell>
        </row>
        <row r="22">
          <cell r="B22">
            <v>870.19475237302299</v>
          </cell>
        </row>
        <row r="23">
          <cell r="B23">
            <v>457.82361835243307</v>
          </cell>
        </row>
        <row r="24">
          <cell r="B24">
            <v>239.91453230465311</v>
          </cell>
        </row>
        <row r="25">
          <cell r="B25">
            <v>100</v>
          </cell>
        </row>
      </sheetData>
      <sheetData sheetId="33">
        <row r="2">
          <cell r="B2">
            <v>0</v>
          </cell>
        </row>
        <row r="3">
          <cell r="B3">
            <v>2.863035643049902E-11</v>
          </cell>
        </row>
        <row r="4">
          <cell r="B4">
            <v>2.1238036638582608E-11</v>
          </cell>
        </row>
        <row r="5">
          <cell r="B5">
            <v>1.765444164963199E-11</v>
          </cell>
        </row>
        <row r="6">
          <cell r="B6">
            <v>1.7974722557411281E-11</v>
          </cell>
        </row>
        <row r="7">
          <cell r="B7">
            <v>3.6054857531627952E-11</v>
          </cell>
        </row>
        <row r="8">
          <cell r="B8">
            <v>5.6889931642227411E-12</v>
          </cell>
        </row>
        <row r="9">
          <cell r="B9">
            <v>7.4506793743418223E-12</v>
          </cell>
        </row>
        <row r="10">
          <cell r="B10">
            <v>4.6729527435130963E-12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2.7909677715633189E-11</v>
          </cell>
        </row>
        <row r="19">
          <cell r="B19">
            <v>2.7089656772123771E-9</v>
          </cell>
        </row>
        <row r="20">
          <cell r="B20">
            <v>198.91109019545269</v>
          </cell>
        </row>
        <row r="21">
          <cell r="B21">
            <v>399.9999999999859</v>
          </cell>
        </row>
        <row r="22">
          <cell r="B22">
            <v>399.99999999997777</v>
          </cell>
        </row>
        <row r="23">
          <cell r="B23">
            <v>399.99999999997237</v>
          </cell>
        </row>
        <row r="24">
          <cell r="B24">
            <v>211.37181346634651</v>
          </cell>
        </row>
        <row r="25">
          <cell r="B25">
            <v>135.7170963355135</v>
          </cell>
        </row>
      </sheetData>
      <sheetData sheetId="34">
        <row r="2">
          <cell r="B2">
            <v>1.627604527662443E-10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60.192606386923607</v>
          </cell>
        </row>
        <row r="12">
          <cell r="B12">
            <v>120.6499078926519</v>
          </cell>
        </row>
        <row r="13">
          <cell r="B13">
            <v>263.27811598581491</v>
          </cell>
        </row>
        <row r="14">
          <cell r="B14">
            <v>399.9999999994327</v>
          </cell>
        </row>
        <row r="15">
          <cell r="B15">
            <v>399.999999999848</v>
          </cell>
        </row>
        <row r="16">
          <cell r="B16">
            <v>383.26715942794891</v>
          </cell>
        </row>
        <row r="17">
          <cell r="B17">
            <v>308.09608127509841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</sheetData>
      <sheetData sheetId="35">
        <row r="2">
          <cell r="B2">
            <v>31.307452054957171</v>
          </cell>
        </row>
      </sheetData>
      <sheetData sheetId="36">
        <row r="2">
          <cell r="B2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5.6889931642227411E-12</v>
          </cell>
        </row>
        <row r="9">
          <cell r="B9">
            <v>7.4506793743418223E-12</v>
          </cell>
        </row>
        <row r="10">
          <cell r="B10">
            <v>4.6729527435130963E-12</v>
          </cell>
        </row>
        <row r="11">
          <cell r="B11">
            <v>6.2370997310021853E-11</v>
          </cell>
        </row>
        <row r="12">
          <cell r="B12">
            <v>4.1836730965433971E-11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1.9602235814901971E-10</v>
          </cell>
        </row>
        <row r="21">
          <cell r="B21">
            <v>247.5343287671086</v>
          </cell>
        </row>
        <row r="22">
          <cell r="B22">
            <v>356.21758756466409</v>
          </cell>
        </row>
        <row r="23">
          <cell r="B23">
            <v>358.55739726024592</v>
          </cell>
        </row>
        <row r="24">
          <cell r="B24">
            <v>91.926194696648764</v>
          </cell>
        </row>
        <row r="25">
          <cell r="B25">
            <v>1.1739792569066129E-10</v>
          </cell>
        </row>
      </sheetData>
      <sheetData sheetId="37"/>
      <sheetData sheetId="38"/>
      <sheetData sheetId="39"/>
      <sheetData sheetId="40">
        <row r="2">
          <cell r="A2">
            <v>550369.20578143839</v>
          </cell>
        </row>
      </sheetData>
      <sheetData sheetId="41"/>
      <sheetData sheetId="42"/>
      <sheetData sheetId="43"/>
      <sheetData sheetId="44">
        <row r="2">
          <cell r="B2">
            <v>140.00000000006449</v>
          </cell>
        </row>
        <row r="3">
          <cell r="B3">
            <v>140.00000000004741</v>
          </cell>
        </row>
        <row r="4">
          <cell r="B4">
            <v>140.0000000000322</v>
          </cell>
        </row>
        <row r="5">
          <cell r="B5">
            <v>445.96376553919782</v>
          </cell>
        </row>
        <row r="6">
          <cell r="B6">
            <v>445.96376553914803</v>
          </cell>
        </row>
        <row r="7">
          <cell r="B7">
            <v>445.96376553903201</v>
          </cell>
        </row>
        <row r="8">
          <cell r="B8">
            <v>198.43388157055591</v>
          </cell>
        </row>
        <row r="9">
          <cell r="B9">
            <v>140.0000000000976</v>
          </cell>
        </row>
        <row r="10">
          <cell r="B10">
            <v>140.0000000000056</v>
          </cell>
        </row>
        <row r="11">
          <cell r="B11">
            <v>234.92649574059291</v>
          </cell>
        </row>
        <row r="12">
          <cell r="B12">
            <v>404.70503852548433</v>
          </cell>
        </row>
        <row r="13">
          <cell r="B13">
            <v>608.49023591035029</v>
          </cell>
        </row>
        <row r="14">
          <cell r="B14">
            <v>1202.115363787344</v>
          </cell>
        </row>
        <row r="15">
          <cell r="B15">
            <v>1881.076685601508</v>
          </cell>
        </row>
        <row r="16">
          <cell r="B16">
            <v>2323.322670068404</v>
          </cell>
        </row>
        <row r="17">
          <cell r="B17">
            <v>2659.99999999999</v>
          </cell>
        </row>
        <row r="18">
          <cell r="B18">
            <v>2659.99999999997</v>
          </cell>
        </row>
        <row r="19">
          <cell r="B19">
            <v>2659.9999999998772</v>
          </cell>
        </row>
        <row r="20">
          <cell r="B20">
            <v>2600.8737790661312</v>
          </cell>
        </row>
        <row r="21">
          <cell r="B21">
            <v>1805.1018663786899</v>
          </cell>
        </row>
        <row r="22">
          <cell r="B22">
            <v>920.89134006291476</v>
          </cell>
        </row>
        <row r="23">
          <cell r="B23">
            <v>140.00000000021299</v>
          </cell>
        </row>
        <row r="24">
          <cell r="B24">
            <v>140.0000000000631</v>
          </cell>
        </row>
        <row r="25">
          <cell r="B25">
            <v>140</v>
          </cell>
        </row>
      </sheetData>
      <sheetData sheetId="45">
        <row r="2">
          <cell r="B2">
            <v>0</v>
          </cell>
        </row>
        <row r="3">
          <cell r="B3">
            <v>1.6345405663876911E-11</v>
          </cell>
        </row>
        <row r="4">
          <cell r="B4">
            <v>1.4317361351191499E-11</v>
          </cell>
        </row>
        <row r="5">
          <cell r="B5">
            <v>0</v>
          </cell>
        </row>
        <row r="6">
          <cell r="B6">
            <v>4.7277012525366677E-11</v>
          </cell>
        </row>
        <row r="7">
          <cell r="B7">
            <v>1.109136053400323E-10</v>
          </cell>
        </row>
        <row r="8">
          <cell r="B8">
            <v>235.1533897700522</v>
          </cell>
        </row>
        <row r="9">
          <cell r="B9">
            <v>55.512187491935428</v>
          </cell>
        </row>
        <row r="10">
          <cell r="B10">
            <v>8.741956466985952E-11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1.941812014053532E-11</v>
          </cell>
        </row>
        <row r="19">
          <cell r="B19">
            <v>8.8216592261354879E-11</v>
          </cell>
        </row>
        <row r="20">
          <cell r="B20">
            <v>56.169909887058722</v>
          </cell>
        </row>
        <row r="21">
          <cell r="B21">
            <v>755.98331705306884</v>
          </cell>
        </row>
        <row r="22">
          <cell r="B22">
            <v>839.99999999998647</v>
          </cell>
        </row>
        <row r="23">
          <cell r="B23">
            <v>741.84677305956689</v>
          </cell>
        </row>
        <row r="24">
          <cell r="B24">
            <v>1.4240518779375791E-10</v>
          </cell>
        </row>
        <row r="25">
          <cell r="B25">
            <v>5.9920926131096924E-11</v>
          </cell>
        </row>
      </sheetData>
      <sheetData sheetId="46">
        <row r="2">
          <cell r="B2">
            <v>7.014477887423709E-11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332.56931036865888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103.1809736310732</v>
          </cell>
        </row>
        <row r="12">
          <cell r="B12">
            <v>184.5418943314194</v>
          </cell>
        </row>
        <row r="13">
          <cell r="B13">
            <v>221.50564933137611</v>
          </cell>
        </row>
        <row r="14">
          <cell r="B14">
            <v>645.2447042141232</v>
          </cell>
        </row>
        <row r="15">
          <cell r="B15">
            <v>738.00143675452591</v>
          </cell>
        </row>
        <row r="16">
          <cell r="B16">
            <v>480.70215702923571</v>
          </cell>
        </row>
        <row r="17">
          <cell r="B17">
            <v>365.95361949085458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</sheetData>
      <sheetData sheetId="47">
        <row r="2">
          <cell r="B2">
            <v>165.79381979916459</v>
          </cell>
        </row>
        <row r="3">
          <cell r="B3">
            <v>166.29425507124191</v>
          </cell>
        </row>
        <row r="4">
          <cell r="B4">
            <v>167.08083889699779</v>
          </cell>
        </row>
        <row r="5">
          <cell r="B5">
            <v>505.6426698936437</v>
          </cell>
        </row>
        <row r="6">
          <cell r="B6">
            <v>193.60399728052599</v>
          </cell>
        </row>
        <row r="7">
          <cell r="B7">
            <v>229.1750535359418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7.9322602883933717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429.15769126821192</v>
          </cell>
        </row>
        <row r="15">
          <cell r="B15">
            <v>561.32089999998379</v>
          </cell>
        </row>
        <row r="16">
          <cell r="B16">
            <v>379.49779999961601</v>
          </cell>
        </row>
        <row r="17">
          <cell r="B17">
            <v>379.49779999948788</v>
          </cell>
        </row>
        <row r="18">
          <cell r="B18">
            <v>118.7279734146816</v>
          </cell>
        </row>
        <row r="19">
          <cell r="B19">
            <v>184.6729571081207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</sheetData>
      <sheetData sheetId="48">
        <row r="2">
          <cell r="B2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2.674562464606719E-11</v>
          </cell>
        </row>
        <row r="9">
          <cell r="B9">
            <v>3.7879590177698162E-11</v>
          </cell>
        </row>
        <row r="10">
          <cell r="B10">
            <v>0</v>
          </cell>
        </row>
        <row r="11">
          <cell r="B11">
            <v>2.4385772763070579E-10</v>
          </cell>
        </row>
        <row r="12">
          <cell r="B12">
            <v>6.8423084160899351E-11</v>
          </cell>
        </row>
        <row r="13">
          <cell r="B13">
            <v>3.6849291745408043E-11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7.0403694023756999E-11</v>
          </cell>
        </row>
        <row r="21">
          <cell r="B21">
            <v>649.99999999980969</v>
          </cell>
        </row>
        <row r="22">
          <cell r="B22">
            <v>649.99999999998647</v>
          </cell>
        </row>
        <row r="23">
          <cell r="B23">
            <v>649.99999999981446</v>
          </cell>
        </row>
        <row r="24">
          <cell r="B24">
            <v>1.4240518779375791E-10</v>
          </cell>
        </row>
        <row r="25">
          <cell r="B25">
            <v>5.9935136985812126E-11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B2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10.04882680479456</v>
          </cell>
        </row>
        <row r="9">
          <cell r="B9">
            <v>94.044604159817197</v>
          </cell>
        </row>
        <row r="10">
          <cell r="B10">
            <v>7.2957661586756331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53.698761428133572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85.942659865588297</v>
          </cell>
        </row>
        <row r="25">
          <cell r="B25">
            <v>103.79630181484811</v>
          </cell>
        </row>
      </sheetData>
      <sheetData sheetId="57">
        <row r="2">
          <cell r="B2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90.705258797562465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</sheetData>
      <sheetData sheetId="58">
        <row r="2">
          <cell r="B2">
            <v>6.8746794520547994E-2</v>
          </cell>
        </row>
        <row r="3">
          <cell r="B3">
            <v>6.4382931506848998E-2</v>
          </cell>
        </row>
        <row r="4">
          <cell r="B4">
            <v>6.2238410958903999E-2</v>
          </cell>
        </row>
        <row r="5">
          <cell r="B5">
            <v>6.0464136986301001E-2</v>
          </cell>
        </row>
        <row r="6">
          <cell r="B6">
            <v>6.0655534246575001E-2</v>
          </cell>
        </row>
        <row r="7">
          <cell r="B7">
            <v>6.5132136986301006E-2</v>
          </cell>
        </row>
        <row r="8">
          <cell r="B8">
            <v>7.5746221956813353E-2</v>
          </cell>
        </row>
        <row r="9">
          <cell r="B9">
            <v>8.2177322679546028E-2</v>
          </cell>
        </row>
        <row r="10">
          <cell r="B10">
            <v>7.2797190878841261E-2</v>
          </cell>
        </row>
        <row r="11">
          <cell r="B11">
            <v>5.6760082191780997E-2</v>
          </cell>
        </row>
        <row r="12">
          <cell r="B12">
            <v>4.6949369863013998E-2</v>
          </cell>
        </row>
        <row r="13">
          <cell r="B13">
            <v>4.1846739726027003E-2</v>
          </cell>
        </row>
        <row r="14">
          <cell r="B14">
            <v>3.9593726027396997E-2</v>
          </cell>
        </row>
        <row r="15">
          <cell r="B15">
            <v>3.7885123287670998E-2</v>
          </cell>
        </row>
        <row r="16">
          <cell r="B16">
            <v>3.6840931506849001E-2</v>
          </cell>
        </row>
        <row r="17">
          <cell r="B17">
            <v>3.8253698630137001E-2</v>
          </cell>
        </row>
        <row r="18">
          <cell r="B18">
            <v>4.6423205479452001E-2</v>
          </cell>
        </row>
        <row r="19">
          <cell r="B19">
            <v>5.9484767123287999E-2</v>
          </cell>
        </row>
        <row r="20">
          <cell r="B20">
            <v>9.3079973940292549E-2</v>
          </cell>
        </row>
        <row r="21">
          <cell r="B21">
            <v>9.0286438356163998E-2</v>
          </cell>
        </row>
        <row r="22">
          <cell r="B22">
            <v>0.13769584453506961</v>
          </cell>
        </row>
        <row r="23">
          <cell r="B23">
            <v>9.0372109589041003E-2</v>
          </cell>
        </row>
        <row r="24">
          <cell r="B24">
            <v>8.3920614430084889E-2</v>
          </cell>
        </row>
        <row r="25">
          <cell r="B25">
            <v>8.0011483170309747E-2</v>
          </cell>
        </row>
      </sheetData>
      <sheetData sheetId="59">
        <row r="2">
          <cell r="A2">
            <v>0</v>
          </cell>
        </row>
      </sheetData>
      <sheetData sheetId="60"/>
      <sheetData sheetId="61"/>
      <sheetData sheetId="62"/>
      <sheetData sheetId="63"/>
      <sheetData sheetId="64"/>
      <sheetData sheetId="65">
        <row r="1">
          <cell r="A1">
            <v>569</v>
          </cell>
        </row>
      </sheetData>
      <sheetData sheetId="66">
        <row r="1">
          <cell r="A1">
            <v>231.241369863014</v>
          </cell>
        </row>
      </sheetData>
      <sheetData sheetId="67">
        <row r="1">
          <cell r="A1">
            <v>100</v>
          </cell>
        </row>
      </sheetData>
      <sheetData sheetId="68">
        <row r="1">
          <cell r="A1">
            <v>2000</v>
          </cell>
        </row>
      </sheetData>
      <sheetData sheetId="69">
        <row r="1">
          <cell r="A1">
            <v>0.93</v>
          </cell>
        </row>
      </sheetData>
      <sheetData sheetId="70">
        <row r="1">
          <cell r="A1">
            <v>0.97</v>
          </cell>
        </row>
      </sheetData>
      <sheetData sheetId="71">
        <row r="1">
          <cell r="A1">
            <v>0.2</v>
          </cell>
        </row>
      </sheetData>
      <sheetData sheetId="72">
        <row r="1">
          <cell r="A1">
            <v>0.2</v>
          </cell>
        </row>
      </sheetData>
      <sheetData sheetId="73">
        <row r="1">
          <cell r="A1">
            <v>0.9</v>
          </cell>
        </row>
      </sheetData>
      <sheetData sheetId="74">
        <row r="1">
          <cell r="A1">
            <v>600</v>
          </cell>
        </row>
      </sheetData>
      <sheetData sheetId="75">
        <row r="1">
          <cell r="A1">
            <v>-31713.9</v>
          </cell>
        </row>
      </sheetData>
      <sheetData sheetId="76">
        <row r="1">
          <cell r="A1">
            <v>800</v>
          </cell>
        </row>
      </sheetData>
      <sheetData sheetId="77">
        <row r="1">
          <cell r="A1">
            <v>312.78235978049003</v>
          </cell>
        </row>
      </sheetData>
      <sheetData sheetId="78">
        <row r="1">
          <cell r="A1">
            <v>140</v>
          </cell>
        </row>
      </sheetData>
      <sheetData sheetId="79">
        <row r="1">
          <cell r="A1">
            <v>2800</v>
          </cell>
        </row>
      </sheetData>
      <sheetData sheetId="80">
        <row r="1">
          <cell r="A1">
            <v>0.92</v>
          </cell>
        </row>
      </sheetData>
      <sheetData sheetId="81">
        <row r="1">
          <cell r="A1">
            <v>0.95</v>
          </cell>
        </row>
      </sheetData>
      <sheetData sheetId="82">
        <row r="1">
          <cell r="A1">
            <v>0.3</v>
          </cell>
        </row>
      </sheetData>
      <sheetData sheetId="83">
        <row r="1">
          <cell r="A1">
            <v>0.3</v>
          </cell>
        </row>
      </sheetData>
      <sheetData sheetId="84">
        <row r="1">
          <cell r="A1">
            <v>0.9</v>
          </cell>
        </row>
      </sheetData>
      <sheetData sheetId="85">
        <row r="1">
          <cell r="A1">
            <v>650</v>
          </cell>
        </row>
      </sheetData>
      <sheetData sheetId="86">
        <row r="1">
          <cell r="A1">
            <v>-33786.68</v>
          </cell>
        </row>
      </sheetData>
      <sheetData sheetId="87">
        <row r="1">
          <cell r="A1">
            <v>28.791869999999999</v>
          </cell>
        </row>
      </sheetData>
      <sheetData sheetId="88">
        <row r="1">
          <cell r="A1">
            <v>15.077640000000001</v>
          </cell>
        </row>
      </sheetData>
      <sheetData sheetId="89">
        <row r="1">
          <cell r="A1">
            <v>6.5591699999999999</v>
          </cell>
        </row>
      </sheetData>
      <sheetData sheetId="90">
        <row r="1">
          <cell r="A1">
            <v>5.1720899999999999</v>
          </cell>
        </row>
      </sheetData>
      <sheetData sheetId="91">
        <row r="1">
          <cell r="A1">
            <v>1.9328099999999999</v>
          </cell>
        </row>
      </sheetData>
      <sheetData sheetId="92">
        <row r="1">
          <cell r="A1">
            <v>0.91608999999999996</v>
          </cell>
        </row>
      </sheetData>
      <sheetData sheetId="93">
        <row r="1">
          <cell r="A1">
            <v>700</v>
          </cell>
        </row>
      </sheetData>
      <sheetData sheetId="94">
        <row r="1">
          <cell r="A1">
            <v>200</v>
          </cell>
        </row>
      </sheetData>
      <sheetData sheetId="95">
        <row r="1">
          <cell r="A1">
            <v>80</v>
          </cell>
        </row>
      </sheetData>
      <sheetData sheetId="96">
        <row r="1">
          <cell r="A1">
            <v>8.0242587190689996E-2</v>
          </cell>
        </row>
      </sheetData>
      <sheetData sheetId="97">
        <row r="1">
          <cell r="A1">
            <v>3.7499999999999999E-3</v>
          </cell>
        </row>
      </sheetData>
      <sheetData sheetId="98">
        <row r="1">
          <cell r="A1">
            <v>1.25E-3</v>
          </cell>
        </row>
      </sheetData>
      <sheetData sheetId="99">
        <row r="1">
          <cell r="A1">
            <v>400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ution"/>
    </sheetNames>
    <sheetDataSet>
      <sheetData sheetId="0">
        <row r="2">
          <cell r="B2">
            <v>31.3074520547944</v>
          </cell>
          <cell r="C2">
            <v>0</v>
          </cell>
          <cell r="D2">
            <v>0</v>
          </cell>
          <cell r="E2">
            <v>0</v>
          </cell>
          <cell r="F2">
            <v>165.793819799094</v>
          </cell>
          <cell r="G2">
            <v>0</v>
          </cell>
          <cell r="H2">
            <v>0</v>
          </cell>
          <cell r="I2">
            <v>0</v>
          </cell>
          <cell r="J2">
            <v>100</v>
          </cell>
          <cell r="K2">
            <v>140</v>
          </cell>
          <cell r="L2">
            <v>6.8746794520547994E-2</v>
          </cell>
          <cell r="M2">
            <v>0</v>
          </cell>
          <cell r="N2">
            <v>0</v>
          </cell>
        </row>
        <row r="3">
          <cell r="B3">
            <v>20.898958904109602</v>
          </cell>
          <cell r="C3">
            <v>0</v>
          </cell>
          <cell r="D3">
            <v>0</v>
          </cell>
          <cell r="E3">
            <v>0</v>
          </cell>
          <cell r="F3">
            <v>166.29425507125799</v>
          </cell>
          <cell r="G3">
            <v>0</v>
          </cell>
          <cell r="H3">
            <v>0</v>
          </cell>
          <cell r="I3">
            <v>0</v>
          </cell>
          <cell r="J3">
            <v>100</v>
          </cell>
          <cell r="K3">
            <v>140</v>
          </cell>
          <cell r="L3">
            <v>6.4382931506848998E-2</v>
          </cell>
          <cell r="M3">
            <v>0</v>
          </cell>
          <cell r="N3">
            <v>0</v>
          </cell>
        </row>
        <row r="4">
          <cell r="B4">
            <v>17.653808219178099</v>
          </cell>
          <cell r="C4">
            <v>0</v>
          </cell>
          <cell r="D4">
            <v>0</v>
          </cell>
          <cell r="E4">
            <v>0</v>
          </cell>
          <cell r="F4">
            <v>167.080838897012</v>
          </cell>
          <cell r="G4">
            <v>0</v>
          </cell>
          <cell r="H4">
            <v>0</v>
          </cell>
          <cell r="I4">
            <v>0</v>
          </cell>
          <cell r="J4">
            <v>100</v>
          </cell>
          <cell r="K4">
            <v>140</v>
          </cell>
          <cell r="L4">
            <v>6.2238410958903999E-2</v>
          </cell>
          <cell r="M4">
            <v>0</v>
          </cell>
          <cell r="N4">
            <v>0</v>
          </cell>
        </row>
        <row r="5">
          <cell r="B5">
            <v>17.3949589041096</v>
          </cell>
          <cell r="C5">
            <v>0</v>
          </cell>
          <cell r="D5">
            <v>0</v>
          </cell>
          <cell r="E5">
            <v>0</v>
          </cell>
          <cell r="F5">
            <v>505.642669893316</v>
          </cell>
          <cell r="G5">
            <v>0</v>
          </cell>
          <cell r="H5">
            <v>332.56931036833203</v>
          </cell>
          <cell r="I5">
            <v>0</v>
          </cell>
          <cell r="J5">
            <v>100</v>
          </cell>
          <cell r="K5">
            <v>445.963765538865</v>
          </cell>
          <cell r="L5">
            <v>6.0464136986301001E-2</v>
          </cell>
          <cell r="M5">
            <v>0</v>
          </cell>
          <cell r="N5">
            <v>0</v>
          </cell>
        </row>
        <row r="6">
          <cell r="B6">
            <v>17.182986301369901</v>
          </cell>
          <cell r="C6">
            <v>0</v>
          </cell>
          <cell r="D6">
            <v>0</v>
          </cell>
          <cell r="E6">
            <v>0</v>
          </cell>
          <cell r="F6">
            <v>193.603997280573</v>
          </cell>
          <cell r="G6">
            <v>0</v>
          </cell>
          <cell r="H6">
            <v>0</v>
          </cell>
          <cell r="I6">
            <v>0</v>
          </cell>
          <cell r="J6">
            <v>100</v>
          </cell>
          <cell r="K6">
            <v>445.963765538865</v>
          </cell>
          <cell r="L6">
            <v>6.0655534246575001E-2</v>
          </cell>
          <cell r="M6">
            <v>0</v>
          </cell>
          <cell r="N6">
            <v>0</v>
          </cell>
        </row>
        <row r="7">
          <cell r="B7">
            <v>16.9050410958904</v>
          </cell>
          <cell r="C7">
            <v>0</v>
          </cell>
          <cell r="D7">
            <v>0</v>
          </cell>
          <cell r="E7">
            <v>0</v>
          </cell>
          <cell r="F7">
            <v>229.17505353605199</v>
          </cell>
          <cell r="G7">
            <v>0</v>
          </cell>
          <cell r="H7">
            <v>0</v>
          </cell>
          <cell r="I7">
            <v>0</v>
          </cell>
          <cell r="J7">
            <v>100</v>
          </cell>
          <cell r="K7">
            <v>445.963765538865</v>
          </cell>
          <cell r="L7">
            <v>6.5132136986301006E-2</v>
          </cell>
          <cell r="M7">
            <v>0</v>
          </cell>
          <cell r="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235.15338977002401</v>
          </cell>
          <cell r="J8">
            <v>100</v>
          </cell>
          <cell r="K8">
            <v>198.43388157041801</v>
          </cell>
          <cell r="L8">
            <v>7.3826082191780995E-2</v>
          </cell>
          <cell r="M8">
            <v>10.0488268047945</v>
          </cell>
          <cell r="N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55.5121874918975</v>
          </cell>
          <cell r="J9">
            <v>100</v>
          </cell>
          <cell r="K9">
            <v>140</v>
          </cell>
          <cell r="L9">
            <v>7.6148794520547999E-2</v>
          </cell>
          <cell r="M9">
            <v>94.044604159817197</v>
          </cell>
          <cell r="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7.9322602884807898</v>
          </cell>
          <cell r="G10">
            <v>0</v>
          </cell>
          <cell r="H10">
            <v>0</v>
          </cell>
          <cell r="I10">
            <v>0</v>
          </cell>
          <cell r="J10">
            <v>100</v>
          </cell>
          <cell r="K10">
            <v>140</v>
          </cell>
          <cell r="L10">
            <v>6.9382712328766999E-2</v>
          </cell>
          <cell r="M10">
            <v>7.2957661586756304</v>
          </cell>
          <cell r="N10">
            <v>0</v>
          </cell>
        </row>
        <row r="11">
          <cell r="B11">
            <v>0</v>
          </cell>
          <cell r="C11">
            <v>0</v>
          </cell>
          <cell r="D11">
            <v>60.192606386986</v>
          </cell>
          <cell r="E11">
            <v>0</v>
          </cell>
          <cell r="F11">
            <v>0</v>
          </cell>
          <cell r="G11">
            <v>0</v>
          </cell>
          <cell r="H11">
            <v>103.180973631317</v>
          </cell>
          <cell r="I11">
            <v>0</v>
          </cell>
          <cell r="J11">
            <v>155.97912393989699</v>
          </cell>
          <cell r="K11">
            <v>234.92649574081199</v>
          </cell>
          <cell r="L11">
            <v>5.6760082191780997E-2</v>
          </cell>
          <cell r="M11">
            <v>0</v>
          </cell>
          <cell r="N11">
            <v>0</v>
          </cell>
        </row>
        <row r="12">
          <cell r="B12">
            <v>0</v>
          </cell>
          <cell r="C12">
            <v>0</v>
          </cell>
          <cell r="D12">
            <v>120.64990789269299</v>
          </cell>
          <cell r="E12">
            <v>0</v>
          </cell>
          <cell r="F12">
            <v>0</v>
          </cell>
          <cell r="G12">
            <v>0</v>
          </cell>
          <cell r="H12">
            <v>184.54189433149099</v>
          </cell>
          <cell r="I12">
            <v>0</v>
          </cell>
          <cell r="J12">
            <v>268.183538280101</v>
          </cell>
          <cell r="K12">
            <v>404.705038525784</v>
          </cell>
          <cell r="L12">
            <v>4.6949369863013998E-2</v>
          </cell>
          <cell r="M12">
            <v>0</v>
          </cell>
          <cell r="N12">
            <v>0</v>
          </cell>
        </row>
        <row r="13">
          <cell r="B13">
            <v>119.57084821545899</v>
          </cell>
          <cell r="C13">
            <v>0</v>
          </cell>
          <cell r="D13">
            <v>263.278115984865</v>
          </cell>
          <cell r="E13">
            <v>0</v>
          </cell>
          <cell r="F13">
            <v>0</v>
          </cell>
          <cell r="G13">
            <v>0</v>
          </cell>
          <cell r="H13">
            <v>221.50564933140899</v>
          </cell>
          <cell r="I13">
            <v>0</v>
          </cell>
          <cell r="J13">
            <v>513.03218614602702</v>
          </cell>
          <cell r="K13">
            <v>608.49023591067998</v>
          </cell>
          <cell r="L13">
            <v>4.1846739726027003E-2</v>
          </cell>
          <cell r="M13">
            <v>0</v>
          </cell>
          <cell r="N13">
            <v>0</v>
          </cell>
        </row>
        <row r="14">
          <cell r="B14">
            <v>71.497784926940398</v>
          </cell>
          <cell r="C14">
            <v>0</v>
          </cell>
          <cell r="D14">
            <v>400</v>
          </cell>
          <cell r="E14">
            <v>0</v>
          </cell>
          <cell r="F14">
            <v>340.478591266953</v>
          </cell>
          <cell r="G14">
            <v>0</v>
          </cell>
          <cell r="H14">
            <v>556.56560421286497</v>
          </cell>
          <cell r="I14">
            <v>0</v>
          </cell>
          <cell r="J14">
            <v>885.03218614602702</v>
          </cell>
          <cell r="K14">
            <v>1120.5305917865101</v>
          </cell>
          <cell r="L14">
            <v>3.9593726027396997E-2</v>
          </cell>
          <cell r="M14">
            <v>0</v>
          </cell>
          <cell r="N14">
            <v>0</v>
          </cell>
        </row>
        <row r="15">
          <cell r="B15">
            <v>282.66161453995397</v>
          </cell>
          <cell r="C15">
            <v>0</v>
          </cell>
          <cell r="D15">
            <v>400</v>
          </cell>
          <cell r="E15">
            <v>0</v>
          </cell>
          <cell r="F15">
            <v>650</v>
          </cell>
          <cell r="G15">
            <v>0</v>
          </cell>
          <cell r="H15">
            <v>826.680536754542</v>
          </cell>
          <cell r="I15">
            <v>0</v>
          </cell>
          <cell r="J15">
            <v>1257.03218614602</v>
          </cell>
          <cell r="K15">
            <v>1881.0766856006901</v>
          </cell>
          <cell r="L15">
            <v>3.7885123287670998E-2</v>
          </cell>
          <cell r="M15">
            <v>0</v>
          </cell>
          <cell r="N15">
            <v>0</v>
          </cell>
        </row>
        <row r="16">
          <cell r="B16">
            <v>338.05515300000002</v>
          </cell>
          <cell r="C16">
            <v>0</v>
          </cell>
          <cell r="D16">
            <v>383.26715942808198</v>
          </cell>
          <cell r="E16">
            <v>0</v>
          </cell>
          <cell r="F16">
            <v>379.49779999999998</v>
          </cell>
          <cell r="G16">
            <v>0</v>
          </cell>
          <cell r="H16">
            <v>480.702157029619</v>
          </cell>
          <cell r="I16">
            <v>0</v>
          </cell>
          <cell r="J16">
            <v>1613.47064441414</v>
          </cell>
          <cell r="K16">
            <v>2323.3226700679402</v>
          </cell>
          <cell r="L16">
            <v>3.6840931506849001E-2</v>
          </cell>
          <cell r="M16">
            <v>0</v>
          </cell>
          <cell r="N16">
            <v>0</v>
          </cell>
        </row>
        <row r="17">
          <cell r="B17">
            <v>338.05515300000002</v>
          </cell>
          <cell r="C17">
            <v>0</v>
          </cell>
          <cell r="D17">
            <v>308.09608127511399</v>
          </cell>
          <cell r="E17">
            <v>0</v>
          </cell>
          <cell r="F17">
            <v>379.49779999999998</v>
          </cell>
          <cell r="G17">
            <v>0</v>
          </cell>
          <cell r="H17">
            <v>365.95361949136299</v>
          </cell>
          <cell r="I17">
            <v>0</v>
          </cell>
          <cell r="J17">
            <v>1900</v>
          </cell>
          <cell r="K17">
            <v>2660</v>
          </cell>
          <cell r="L17">
            <v>3.8253698630137001E-2</v>
          </cell>
          <cell r="M17">
            <v>0</v>
          </cell>
          <cell r="N17">
            <v>0</v>
          </cell>
        </row>
        <row r="18">
          <cell r="B18">
            <v>111.75630751484</v>
          </cell>
          <cell r="C18">
            <v>0</v>
          </cell>
          <cell r="D18">
            <v>0</v>
          </cell>
          <cell r="E18">
            <v>0</v>
          </cell>
          <cell r="F18">
            <v>118.7279734147</v>
          </cell>
          <cell r="G18">
            <v>0</v>
          </cell>
          <cell r="H18">
            <v>0</v>
          </cell>
          <cell r="I18">
            <v>0</v>
          </cell>
          <cell r="J18">
            <v>1900</v>
          </cell>
          <cell r="K18">
            <v>2660</v>
          </cell>
          <cell r="L18">
            <v>4.6423205479452001E-2</v>
          </cell>
          <cell r="M18">
            <v>0</v>
          </cell>
          <cell r="N18">
            <v>0</v>
          </cell>
        </row>
        <row r="19">
          <cell r="B19">
            <v>124.92077108333299</v>
          </cell>
          <cell r="C19">
            <v>0</v>
          </cell>
          <cell r="D19">
            <v>0</v>
          </cell>
          <cell r="E19">
            <v>0</v>
          </cell>
          <cell r="F19">
            <v>184.67295710820801</v>
          </cell>
          <cell r="G19">
            <v>0</v>
          </cell>
          <cell r="H19">
            <v>0</v>
          </cell>
          <cell r="I19">
            <v>0</v>
          </cell>
          <cell r="J19">
            <v>1900</v>
          </cell>
          <cell r="K19">
            <v>2660</v>
          </cell>
          <cell r="L19">
            <v>5.9484767123287999E-2</v>
          </cell>
          <cell r="M19">
            <v>0</v>
          </cell>
          <cell r="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198.91109019525601</v>
          </cell>
          <cell r="F20">
            <v>0</v>
          </cell>
          <cell r="G20">
            <v>0</v>
          </cell>
          <cell r="H20">
            <v>0</v>
          </cell>
          <cell r="I20">
            <v>56.1699098869883</v>
          </cell>
          <cell r="J20">
            <v>1694.9370204172601</v>
          </cell>
          <cell r="K20">
            <v>2600.8737790663199</v>
          </cell>
          <cell r="L20">
            <v>7.6155178082191993E-2</v>
          </cell>
          <cell r="M20">
            <v>53.698761428133501</v>
          </cell>
          <cell r="N20">
            <v>0</v>
          </cell>
        </row>
        <row r="21">
          <cell r="B21">
            <v>0</v>
          </cell>
          <cell r="C21">
            <v>247.53432876712199</v>
          </cell>
          <cell r="D21">
            <v>0</v>
          </cell>
          <cell r="E21">
            <v>400</v>
          </cell>
          <cell r="F21">
            <v>0</v>
          </cell>
          <cell r="G21">
            <v>650</v>
          </cell>
          <cell r="H21">
            <v>0</v>
          </cell>
          <cell r="I21">
            <v>755.98331705325904</v>
          </cell>
          <cell r="J21">
            <v>1282.5658863966401</v>
          </cell>
          <cell r="K21">
            <v>1805.1018663786799</v>
          </cell>
          <cell r="L21">
            <v>9.0286438356163998E-2</v>
          </cell>
          <cell r="M21">
            <v>0</v>
          </cell>
          <cell r="N21">
            <v>0</v>
          </cell>
        </row>
        <row r="22">
          <cell r="B22">
            <v>0</v>
          </cell>
          <cell r="C22">
            <v>356.217587564685</v>
          </cell>
          <cell r="D22">
            <v>0</v>
          </cell>
          <cell r="E22">
            <v>400</v>
          </cell>
          <cell r="F22">
            <v>0</v>
          </cell>
          <cell r="G22">
            <v>650</v>
          </cell>
          <cell r="H22">
            <v>0</v>
          </cell>
          <cell r="I22">
            <v>840</v>
          </cell>
          <cell r="J22">
            <v>870.19475237602398</v>
          </cell>
          <cell r="K22">
            <v>920.89134006289703</v>
          </cell>
          <cell r="L22">
            <v>0.111661323467865</v>
          </cell>
          <cell r="M22">
            <v>0</v>
          </cell>
          <cell r="N22">
            <v>90.705258797562394</v>
          </cell>
        </row>
        <row r="23">
          <cell r="B23">
            <v>0</v>
          </cell>
          <cell r="C23">
            <v>358.557397260274</v>
          </cell>
          <cell r="D23">
            <v>0</v>
          </cell>
          <cell r="E23">
            <v>400</v>
          </cell>
          <cell r="F23">
            <v>0</v>
          </cell>
          <cell r="G23">
            <v>650</v>
          </cell>
          <cell r="H23">
            <v>0</v>
          </cell>
          <cell r="I23">
            <v>741.84677305975197</v>
          </cell>
          <cell r="J23">
            <v>457.82361835540502</v>
          </cell>
          <cell r="K23">
            <v>140</v>
          </cell>
          <cell r="L23">
            <v>9.0372109589041003E-2</v>
          </cell>
          <cell r="M23">
            <v>0</v>
          </cell>
          <cell r="N23">
            <v>0</v>
          </cell>
        </row>
        <row r="24">
          <cell r="B24">
            <v>0</v>
          </cell>
          <cell r="C24">
            <v>91.9261946996494</v>
          </cell>
          <cell r="D24">
            <v>0</v>
          </cell>
          <cell r="E24">
            <v>211.37181346934699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239.914532304532</v>
          </cell>
          <cell r="K24">
            <v>140</v>
          </cell>
          <cell r="L24">
            <v>8.1188794520548002E-2</v>
          </cell>
          <cell r="M24">
            <v>85.942659865588297</v>
          </cell>
          <cell r="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135.71709633539601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100</v>
          </cell>
          <cell r="K25">
            <v>140</v>
          </cell>
          <cell r="L25">
            <v>7.4767232876711998E-2</v>
          </cell>
          <cell r="M25">
            <v>103.79630181484799</v>
          </cell>
          <cell r="N2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2AB7-0F82-AD4B-98BD-940ED2D6281D}">
  <dimension ref="A11:AR67"/>
  <sheetViews>
    <sheetView topLeftCell="A29" zoomScale="80" zoomScaleNormal="80" workbookViewId="0">
      <selection activeCell="B29" sqref="B29"/>
    </sheetView>
  </sheetViews>
  <sheetFormatPr baseColWidth="10" defaultRowHeight="16" x14ac:dyDescent="0.2"/>
  <cols>
    <col min="1" max="1" width="28.6640625" style="4" customWidth="1"/>
    <col min="2" max="2" width="19.5" customWidth="1"/>
    <col min="3" max="3" width="1.5" customWidth="1"/>
    <col min="4" max="4" width="3.1640625" style="4" customWidth="1"/>
    <col min="5" max="5" width="9" style="4" customWidth="1"/>
    <col min="6" max="11" width="8" style="4" customWidth="1"/>
    <col min="12" max="12" width="8.6640625" style="4" customWidth="1"/>
    <col min="13" max="20" width="7.83203125" style="4" customWidth="1"/>
    <col min="21" max="25" width="8" customWidth="1"/>
    <col min="26" max="26" width="9.83203125" customWidth="1"/>
    <col min="27" max="27" width="9.5" customWidth="1"/>
    <col min="28" max="28" width="11.1640625" customWidth="1"/>
    <col min="29" max="29" width="11.5" customWidth="1"/>
    <col min="30" max="30" width="13" style="4" customWidth="1"/>
    <col min="31" max="31" width="20.1640625" style="4" customWidth="1"/>
    <col min="32" max="32" width="16.6640625" customWidth="1"/>
    <col min="33" max="33" width="17.5" customWidth="1"/>
    <col min="34" max="34" width="14" customWidth="1"/>
    <col min="35" max="41" width="23.1640625" style="4" customWidth="1"/>
  </cols>
  <sheetData>
    <row r="11" spans="2:33" ht="19" x14ac:dyDescent="0.2">
      <c r="AC11" s="9" t="s">
        <v>81</v>
      </c>
    </row>
    <row r="12" spans="2:33" x14ac:dyDescent="0.2">
      <c r="AC12" t="s">
        <v>82</v>
      </c>
      <c r="AD12" s="5">
        <f>AB19+AD19+AG19</f>
        <v>92808.66128107949</v>
      </c>
    </row>
    <row r="13" spans="2:33" ht="19" x14ac:dyDescent="0.2">
      <c r="N13" s="9"/>
      <c r="O13" s="9"/>
      <c r="P13" s="9"/>
      <c r="Q13" s="9"/>
      <c r="R13" s="9"/>
      <c r="S13" s="9"/>
      <c r="T13" s="9"/>
      <c r="AA13" s="9"/>
      <c r="AC13" t="s">
        <v>83</v>
      </c>
      <c r="AD13" s="5">
        <f>AC19+AE19+AH19</f>
        <v>132701.96636504598</v>
      </c>
    </row>
    <row r="14" spans="2:33" ht="19" x14ac:dyDescent="0.2">
      <c r="G14" s="9"/>
      <c r="Z14" s="9"/>
      <c r="AC14" t="s">
        <v>84</v>
      </c>
      <c r="AD14" s="36">
        <f>AD13+AD12</f>
        <v>225510.62764612547</v>
      </c>
      <c r="AE14" s="5">
        <f>[1]IndustryProfit!$A$2</f>
        <v>225455.3238121912</v>
      </c>
      <c r="AF14" s="11">
        <f>AE14-AD14</f>
        <v>-55.303833934274735</v>
      </c>
    </row>
    <row r="15" spans="2:33" x14ac:dyDescent="0.2">
      <c r="B15" s="35" t="s">
        <v>86</v>
      </c>
      <c r="E15" s="34">
        <f>E16-E17</f>
        <v>261.94484699999998</v>
      </c>
      <c r="F15" s="34">
        <f t="shared" ref="F15:L15" si="0">F16-F17</f>
        <v>241.442602739726</v>
      </c>
      <c r="G15" s="34">
        <f t="shared" si="0"/>
        <v>0</v>
      </c>
      <c r="H15" s="34">
        <f t="shared" si="0"/>
        <v>0</v>
      </c>
      <c r="I15" s="34">
        <f t="shared" si="0"/>
        <v>0</v>
      </c>
      <c r="J15" s="34">
        <f t="shared" si="0"/>
        <v>0</v>
      </c>
      <c r="K15" s="34">
        <f t="shared" si="0"/>
        <v>13.319463245457996</v>
      </c>
      <c r="L15" s="34">
        <f t="shared" si="0"/>
        <v>0</v>
      </c>
      <c r="AC15" t="s">
        <v>85</v>
      </c>
      <c r="AD15" s="37">
        <f>AD14/B53-B61-B62</f>
        <v>792860.87620427506</v>
      </c>
      <c r="AE15" s="5">
        <f>[1]npv!$A$2</f>
        <v>792171.66819303716</v>
      </c>
      <c r="AF15" s="11">
        <f>AE15-AD15</f>
        <v>-689.20801123790443</v>
      </c>
    </row>
    <row r="16" spans="2:33" ht="19" x14ac:dyDescent="0.2">
      <c r="D16" s="21" t="s">
        <v>64</v>
      </c>
      <c r="E16" s="4">
        <f>B30</f>
        <v>600</v>
      </c>
      <c r="F16" s="4">
        <f>E16</f>
        <v>600</v>
      </c>
      <c r="G16" s="4">
        <f>B59</f>
        <v>400</v>
      </c>
      <c r="H16" s="4">
        <f>G16</f>
        <v>400</v>
      </c>
      <c r="I16" s="4">
        <f>B41</f>
        <v>650</v>
      </c>
      <c r="J16" s="4">
        <f>I16</f>
        <v>650</v>
      </c>
      <c r="K16" s="4">
        <f>B60</f>
        <v>840</v>
      </c>
      <c r="L16" s="4">
        <f>K16</f>
        <v>840</v>
      </c>
      <c r="X16">
        <f>B56</f>
        <v>400</v>
      </c>
      <c r="Y16">
        <f>X16</f>
        <v>400</v>
      </c>
      <c r="AB16" s="11"/>
      <c r="AC16" s="11"/>
      <c r="AG16" s="9"/>
    </row>
    <row r="17" spans="1:44" x14ac:dyDescent="0.2">
      <c r="D17" s="21" t="s">
        <v>63</v>
      </c>
      <c r="E17" s="20">
        <f>MAX(E21:E44)</f>
        <v>338.05515300000002</v>
      </c>
      <c r="F17" s="20">
        <f>MAX(F21:F44)</f>
        <v>358.557397260274</v>
      </c>
      <c r="G17" s="20">
        <f>MAX(G21:G44)</f>
        <v>400</v>
      </c>
      <c r="H17" s="20">
        <f>MAX(H21:H44)</f>
        <v>400</v>
      </c>
      <c r="I17" s="20">
        <f>MAX(I21:I44)</f>
        <v>650</v>
      </c>
      <c r="J17" s="20">
        <f>MAX(J21:J44)</f>
        <v>650</v>
      </c>
      <c r="K17" s="20">
        <f>MAX(K21:K44)</f>
        <v>826.680536754542</v>
      </c>
      <c r="L17" s="20">
        <f>MAX(L21:L44)</f>
        <v>840</v>
      </c>
      <c r="M17" s="15"/>
      <c r="N17" s="15"/>
      <c r="O17" s="15"/>
      <c r="P17" s="15"/>
      <c r="Q17" s="15"/>
      <c r="R17" s="15"/>
      <c r="S17" s="15"/>
      <c r="T17" s="15"/>
      <c r="U17" s="16"/>
      <c r="V17" s="16"/>
      <c r="W17" s="16"/>
      <c r="X17" s="20">
        <f>MAX(X21:X44)</f>
        <v>103.79630181484799</v>
      </c>
      <c r="Y17" s="20">
        <f>MAX(Y21:Y44)</f>
        <v>90.705258797562394</v>
      </c>
      <c r="AB17" s="11">
        <f>AB18-AB19</f>
        <v>-4.1472958400845528E-9</v>
      </c>
      <c r="AC17" s="11">
        <f>AC18-AC19</f>
        <v>-55.303833929865505</v>
      </c>
      <c r="AD17" s="5">
        <f>AD18-AD19</f>
        <v>-22.760234601310913</v>
      </c>
      <c r="AE17" s="5">
        <f>AE18-AE19</f>
        <v>22.760234601310003</v>
      </c>
      <c r="AF17" s="5">
        <f>AF18-AF19</f>
        <v>0</v>
      </c>
      <c r="AG17" s="5">
        <f t="shared" ref="AG17:AH17" si="1">AG18-AG19</f>
        <v>0</v>
      </c>
      <c r="AH17" s="5">
        <f t="shared" si="1"/>
        <v>0</v>
      </c>
    </row>
    <row r="18" spans="1:44" x14ac:dyDescent="0.2">
      <c r="E18" s="29">
        <f>[1]Wimport1!$A$2</f>
        <v>550369.20578143839</v>
      </c>
      <c r="P18" s="31">
        <f>SUM(P21:P44)</f>
        <v>8.0433437688043341E-12</v>
      </c>
      <c r="Q18" s="17"/>
      <c r="R18" s="31">
        <f>SUM(R21:R44)</f>
        <v>2.6005864128819667E-11</v>
      </c>
      <c r="S18" s="31"/>
      <c r="T18" s="31"/>
      <c r="U18" s="8"/>
      <c r="V18" s="8"/>
      <c r="W18" s="8"/>
      <c r="X18" s="8"/>
      <c r="Y18" s="8"/>
      <c r="Z18" s="31">
        <f>SUM(Z21:Z44)</f>
        <v>3.5349501104064984E-13</v>
      </c>
      <c r="AA18" s="31">
        <f>SUM(AA21:AA44)</f>
        <v>-4.1087133695327793E-12</v>
      </c>
      <c r="AB18" s="5">
        <f>[1]Benefit1!$A$2</f>
        <v>-27251.643101966081</v>
      </c>
      <c r="AC18" s="5">
        <f>[1]Benefit2!$A$2</f>
        <v>-50874.330521116673</v>
      </c>
      <c r="AD18" s="5">
        <f>[1]E1!$A$2</f>
        <v>5935.8951128889867</v>
      </c>
      <c r="AE18" s="5">
        <f>[1]E2!$A$2</f>
        <v>-6748.9913396176789</v>
      </c>
      <c r="AF18" s="6">
        <f>[1]APA!$A$2</f>
        <v>813.09622672869114</v>
      </c>
      <c r="AG18" s="6">
        <f>[1]IndustryProfitnoCDS_BESS_PV1!$A$2</f>
        <v>114101.64903555111</v>
      </c>
      <c r="AH18" s="6">
        <f>[1]IndustryProfitnoCDS_BESS_PV2!$A$2</f>
        <v>190292.74462645181</v>
      </c>
    </row>
    <row r="19" spans="1:44" x14ac:dyDescent="0.2">
      <c r="D19" s="4" t="s">
        <v>65</v>
      </c>
      <c r="E19" s="17">
        <f>SUM(E21:E44)</f>
        <v>1507.8608377599785</v>
      </c>
      <c r="F19" s="17">
        <f t="shared" ref="F19:Y19" si="2">SUM(F21:F44)</f>
        <v>1054.2355082917304</v>
      </c>
      <c r="G19" s="17">
        <f t="shared" si="2"/>
        <v>1935.4838709677401</v>
      </c>
      <c r="H19" s="17">
        <f t="shared" si="2"/>
        <v>1745.9999999999991</v>
      </c>
      <c r="I19" s="17">
        <f t="shared" si="2"/>
        <v>3488.3980165556468</v>
      </c>
      <c r="J19" s="17">
        <f t="shared" si="2"/>
        <v>1950</v>
      </c>
      <c r="K19" s="17">
        <f t="shared" si="2"/>
        <v>3071.6997451509383</v>
      </c>
      <c r="L19" s="17">
        <f t="shared" si="2"/>
        <v>2684.6655772619206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>
        <f t="shared" si="2"/>
        <v>354.82692023185712</v>
      </c>
      <c r="Y19" s="17">
        <f t="shared" si="2"/>
        <v>90.705258797562394</v>
      </c>
      <c r="Z19" s="16"/>
      <c r="AA19" s="16"/>
      <c r="AB19" s="17">
        <f>SUM(AB21:AB44)*365-B63</f>
        <v>-27251.643101961934</v>
      </c>
      <c r="AC19" s="17">
        <f>SUM(AC21:AC44)*365-B64</f>
        <v>-50819.026687186808</v>
      </c>
      <c r="AD19" s="17">
        <f>SUM(AD21:AD44)*365-D63</f>
        <v>5958.6553474902976</v>
      </c>
      <c r="AE19" s="17">
        <f>SUM(AE21:AE44)*365-D64</f>
        <v>-6771.7515742189889</v>
      </c>
      <c r="AF19">
        <f>365*SUM(AF21:AF44)+2*$B$65</f>
        <v>813.09622672869079</v>
      </c>
      <c r="AG19">
        <f>365*SUM(AG21:AG44)-B31</f>
        <v>114101.64903555112</v>
      </c>
      <c r="AH19">
        <f>365*SUM(AH21:AH44)-B42</f>
        <v>190292.74462645178</v>
      </c>
    </row>
    <row r="20" spans="1:44" x14ac:dyDescent="0.2">
      <c r="E20" s="15" t="s">
        <v>44</v>
      </c>
      <c r="F20" s="15" t="s">
        <v>46</v>
      </c>
      <c r="G20" s="15" t="s">
        <v>47</v>
      </c>
      <c r="H20" s="15" t="s">
        <v>48</v>
      </c>
      <c r="I20" s="15" t="s">
        <v>45</v>
      </c>
      <c r="J20" s="15" t="s">
        <v>49</v>
      </c>
      <c r="K20" s="15" t="s">
        <v>50</v>
      </c>
      <c r="L20" s="15" t="s">
        <v>51</v>
      </c>
      <c r="M20" s="15" t="s">
        <v>52</v>
      </c>
      <c r="N20" s="15" t="s">
        <v>53</v>
      </c>
      <c r="O20" s="15"/>
      <c r="P20" s="15"/>
      <c r="Q20" s="15"/>
      <c r="R20" s="15"/>
      <c r="S20" s="15"/>
      <c r="T20" s="15"/>
      <c r="U20" s="15" t="s">
        <v>54</v>
      </c>
      <c r="V20" s="15"/>
      <c r="W20" s="15"/>
      <c r="X20" s="15" t="s">
        <v>56</v>
      </c>
      <c r="Y20" s="15" t="s">
        <v>57</v>
      </c>
      <c r="Z20" s="18" t="s">
        <v>62</v>
      </c>
      <c r="AA20" s="18"/>
      <c r="AB20" s="15" t="s">
        <v>74</v>
      </c>
      <c r="AC20" s="15" t="s">
        <v>75</v>
      </c>
      <c r="AD20" s="15" t="s">
        <v>76</v>
      </c>
      <c r="AE20" s="15" t="s">
        <v>77</v>
      </c>
      <c r="AF20" s="15" t="s">
        <v>78</v>
      </c>
      <c r="AG20" s="15" t="s">
        <v>79</v>
      </c>
      <c r="AH20" s="15" t="s">
        <v>80</v>
      </c>
      <c r="AI20" s="4" t="s">
        <v>0</v>
      </c>
      <c r="AJ20" s="4" t="s">
        <v>1</v>
      </c>
      <c r="AK20" s="4" t="s">
        <v>2</v>
      </c>
      <c r="AL20" s="4" t="s">
        <v>3</v>
      </c>
      <c r="AM20" s="4" t="s">
        <v>4</v>
      </c>
      <c r="AN20" s="4" t="s">
        <v>5</v>
      </c>
      <c r="AO20" s="4" t="s">
        <v>6</v>
      </c>
    </row>
    <row r="21" spans="1:44" ht="19" x14ac:dyDescent="0.2">
      <c r="A21" s="9" t="s">
        <v>43</v>
      </c>
      <c r="B21">
        <f>[1]Ppvmax1!$A$1</f>
        <v>569</v>
      </c>
      <c r="D21" s="4">
        <v>1</v>
      </c>
      <c r="E21" s="19">
        <f>[2]solution!B2</f>
        <v>31.3074520547944</v>
      </c>
      <c r="F21" s="19">
        <f>[2]solution!C2</f>
        <v>0</v>
      </c>
      <c r="G21" s="19">
        <f>[2]solution!D2</f>
        <v>0</v>
      </c>
      <c r="H21" s="19">
        <f>[2]solution!E2</f>
        <v>0</v>
      </c>
      <c r="I21" s="19">
        <f>[2]solution!F2</f>
        <v>165.793819799094</v>
      </c>
      <c r="J21" s="19">
        <f>[2]solution!G2</f>
        <v>0</v>
      </c>
      <c r="K21" s="19">
        <f>[2]solution!H2</f>
        <v>0</v>
      </c>
      <c r="L21" s="19">
        <f>[2]solution!I2</f>
        <v>0</v>
      </c>
      <c r="M21" s="19">
        <f>[2]solution!J2</f>
        <v>100</v>
      </c>
      <c r="N21" s="19">
        <f>[2]solution!K2</f>
        <v>140</v>
      </c>
      <c r="O21" s="15">
        <f>B23+G21*$B$25-H21/$B$26</f>
        <v>100</v>
      </c>
      <c r="P21" s="17">
        <f>O21-M21</f>
        <v>0</v>
      </c>
      <c r="Q21" s="17">
        <f>B34+K21*$B$36-L21/$B$37</f>
        <v>140</v>
      </c>
      <c r="R21" s="17">
        <f>Q21-N21</f>
        <v>0</v>
      </c>
      <c r="S21" s="38">
        <f>U21-T21</f>
        <v>0</v>
      </c>
      <c r="T21" s="17">
        <f>AI21</f>
        <v>6.8746794520547994E-2</v>
      </c>
      <c r="U21" s="19">
        <f>[2]solution!L2</f>
        <v>6.8746794520547994E-2</v>
      </c>
      <c r="V21" s="17">
        <f>T21+AO21</f>
        <v>9.1567299828598986E-2</v>
      </c>
      <c r="W21" s="38">
        <f>V21-U21</f>
        <v>2.2820505308050992E-2</v>
      </c>
      <c r="X21" s="19">
        <f>[2]solution!M2</f>
        <v>0</v>
      </c>
      <c r="Y21" s="19">
        <f>[2]solution!N2</f>
        <v>0</v>
      </c>
      <c r="Z21" s="16">
        <f>H21+E21+$B$21*AN21-G21-F21-$B$22*AL21+Y21-X21</f>
        <v>-1.0658141036401503E-14</v>
      </c>
      <c r="AA21" s="16">
        <f>L21+I21+$B$32*AN21-K21-J21-$B$33*AM21-Y21+X21</f>
        <v>-4.8316906031686813E-13</v>
      </c>
      <c r="AB21">
        <f>F21*AI21-(AI21+AO21)*E21</f>
        <v>-2.8667388491708463</v>
      </c>
      <c r="AC21">
        <f>J21*AI21-(AI21+AO21)*I21</f>
        <v>-15.18129240727235</v>
      </c>
      <c r="AD21" s="4">
        <f>(U21-$B$55)*X21-(U21+$B$54)*Y21</f>
        <v>0</v>
      </c>
      <c r="AE21" s="4">
        <f>(U21-$B$55)*Y21-(U21+$B$54)*X21</f>
        <v>0</v>
      </c>
      <c r="AF21" s="4">
        <f>($B$54+$B$55)*(X21+Y21)</f>
        <v>0</v>
      </c>
      <c r="AG21" s="4">
        <f>$B$22*AL21*(AI21+AO21)</f>
        <v>2.8667388491708472</v>
      </c>
      <c r="AH21">
        <f>$B$33*AM21*(AI21+AO21)</f>
        <v>15.181292407272394</v>
      </c>
      <c r="AI21" s="8">
        <f>[1]data!C1</f>
        <v>6.8746794520547994E-2</v>
      </c>
      <c r="AJ21" s="8">
        <f>[1]data!C25</f>
        <v>564.29999999999995</v>
      </c>
      <c r="AK21" s="8">
        <f>[1]data!C49</f>
        <v>553.88959999999997</v>
      </c>
      <c r="AL21" s="8">
        <f>[1]data!C73</f>
        <v>0.13538862909063701</v>
      </c>
      <c r="AM21" s="8">
        <f>[1]data!C97</f>
        <v>0.53006128579453204</v>
      </c>
      <c r="AN21" s="8"/>
      <c r="AO21" s="8">
        <f>[1]data!C133</f>
        <v>2.2820505308050999E-2</v>
      </c>
      <c r="AP21" s="22" t="s">
        <v>66</v>
      </c>
      <c r="AQ21">
        <f>kappaP6*AJ21</f>
        <v>516.94958699999995</v>
      </c>
      <c r="AR21">
        <f>kappaP6*AK21</f>
        <v>507.41272366399994</v>
      </c>
    </row>
    <row r="22" spans="1:44" ht="19" x14ac:dyDescent="0.2">
      <c r="A22" s="9" t="s">
        <v>7</v>
      </c>
      <c r="B22" s="2">
        <f>[1]Plmax1!$A$1</f>
        <v>231.241369863014</v>
      </c>
      <c r="D22" s="4">
        <v>2</v>
      </c>
      <c r="E22" s="19">
        <f>[2]solution!B3</f>
        <v>20.898958904109602</v>
      </c>
      <c r="F22" s="19">
        <f>[2]solution!C3</f>
        <v>0</v>
      </c>
      <c r="G22" s="19">
        <f>[2]solution!D3</f>
        <v>0</v>
      </c>
      <c r="H22" s="19">
        <f>[2]solution!E3</f>
        <v>0</v>
      </c>
      <c r="I22" s="19">
        <f>[2]solution!F3</f>
        <v>166.29425507125799</v>
      </c>
      <c r="J22" s="19">
        <f>[2]solution!G3</f>
        <v>0</v>
      </c>
      <c r="K22" s="19">
        <f>[2]solution!H3</f>
        <v>0</v>
      </c>
      <c r="L22" s="19">
        <f>[2]solution!I3</f>
        <v>0</v>
      </c>
      <c r="M22" s="19">
        <f>[2]solution!J3</f>
        <v>100</v>
      </c>
      <c r="N22" s="19">
        <f>[2]solution!K3</f>
        <v>140</v>
      </c>
      <c r="O22" s="15">
        <f>O21+G22*$B$25-H22/$B$26</f>
        <v>100</v>
      </c>
      <c r="P22" s="17">
        <f t="shared" ref="P22:P44" si="3">O22-M22</f>
        <v>0</v>
      </c>
      <c r="Q22" s="17">
        <f>Q21+K22*$B$36-L22/$B$37</f>
        <v>140</v>
      </c>
      <c r="R22" s="17">
        <f t="shared" ref="R22:R44" si="4">Q22-N22</f>
        <v>0</v>
      </c>
      <c r="S22" s="38">
        <f t="shared" ref="S22:S44" si="5">U22-T22</f>
        <v>0</v>
      </c>
      <c r="T22" s="17">
        <f t="shared" ref="T22:T44" si="6">AI22</f>
        <v>6.4382931506848998E-2</v>
      </c>
      <c r="U22" s="19">
        <f>[2]solution!L3</f>
        <v>6.4382931506848998E-2</v>
      </c>
      <c r="V22" s="17">
        <f t="shared" ref="V22:V44" si="7">T22+AO22</f>
        <v>8.7203436814900004E-2</v>
      </c>
      <c r="W22" s="38">
        <f t="shared" ref="W22:W44" si="8">V22-U22</f>
        <v>2.2820505308051006E-2</v>
      </c>
      <c r="X22" s="19">
        <f>[2]solution!M3</f>
        <v>0</v>
      </c>
      <c r="Y22" s="19">
        <f>[2]solution!N3</f>
        <v>0</v>
      </c>
      <c r="Z22" s="16">
        <f>H22+E22+$B$21*AN22-G22-F22-$B$22*AL22+Y22-X22</f>
        <v>-7.815970093361102E-14</v>
      </c>
      <c r="AA22" s="16">
        <f>L22+I22+$B$32*AN22-K22-J22-$B$33*AM22-Y22+X22</f>
        <v>-3.694822225952521E-13</v>
      </c>
      <c r="AB22">
        <f>F22*AI22-(AI22+AO22)*E22</f>
        <v>-1.8224610422917136</v>
      </c>
      <c r="AC22">
        <f>J22*AI22-(AI22+AO22)*I22</f>
        <v>-14.501430564787311</v>
      </c>
      <c r="AD22" s="4">
        <f t="shared" ref="AD22:AD44" si="9">(U22-$B$55)*X22-(U22+$B$54)*Y22</f>
        <v>0</v>
      </c>
      <c r="AE22" s="4">
        <f t="shared" ref="AE22:AE44" si="10">(U22-$B$55)*Y22-(U22+$B$54)*X22</f>
        <v>0</v>
      </c>
      <c r="AF22" s="4">
        <f t="shared" ref="AF22:AF44" si="11">($B$54+$B$55)*(X22+Y22)</f>
        <v>0</v>
      </c>
      <c r="AG22" s="4">
        <f t="shared" ref="AG22:AG44" si="12">$B$22*AL22*(AI22+AO22)</f>
        <v>1.8224610422917202</v>
      </c>
      <c r="AH22">
        <f t="shared" ref="AH22:AH44" si="13">$B$33*AM22*(AI22+AO22)</f>
        <v>14.501430564787343</v>
      </c>
      <c r="AI22" s="8">
        <f>[1]data!C2</f>
        <v>6.4382931506848998E-2</v>
      </c>
      <c r="AJ22" s="8">
        <f>[1]data!C26</f>
        <v>564.29999999999995</v>
      </c>
      <c r="AK22" s="8">
        <f>[1]data!C50</f>
        <v>553.88959999999997</v>
      </c>
      <c r="AL22" s="8">
        <f>[1]data!C74</f>
        <v>9.0377249176867E-2</v>
      </c>
      <c r="AM22" s="8">
        <f>[1]data!C98</f>
        <v>0.53166123303105495</v>
      </c>
      <c r="AN22" s="8"/>
      <c r="AO22" s="8">
        <f>[1]data!C134</f>
        <v>2.2820505308050999E-2</v>
      </c>
      <c r="AP22" s="23" t="s">
        <v>66</v>
      </c>
    </row>
    <row r="23" spans="1:44" ht="19" x14ac:dyDescent="0.2">
      <c r="A23" s="9" t="s">
        <v>8</v>
      </c>
      <c r="B23">
        <f>[1]SOC01!$A$1</f>
        <v>100</v>
      </c>
      <c r="D23" s="4">
        <v>3</v>
      </c>
      <c r="E23" s="19">
        <f>[2]solution!B4</f>
        <v>17.653808219178099</v>
      </c>
      <c r="F23" s="19">
        <f>[2]solution!C4</f>
        <v>0</v>
      </c>
      <c r="G23" s="19">
        <f>[2]solution!D4</f>
        <v>0</v>
      </c>
      <c r="H23" s="19">
        <f>[2]solution!E4</f>
        <v>0</v>
      </c>
      <c r="I23" s="19">
        <f>[2]solution!F4</f>
        <v>167.080838897012</v>
      </c>
      <c r="J23" s="19">
        <f>[2]solution!G4</f>
        <v>0</v>
      </c>
      <c r="K23" s="19">
        <f>[2]solution!H4</f>
        <v>0</v>
      </c>
      <c r="L23" s="19">
        <f>[2]solution!I4</f>
        <v>0</v>
      </c>
      <c r="M23" s="19">
        <f>[2]solution!J4</f>
        <v>100</v>
      </c>
      <c r="N23" s="19">
        <f>[2]solution!K4</f>
        <v>140</v>
      </c>
      <c r="O23" s="15">
        <f t="shared" ref="O23:O44" si="14">O22+G23*$B$25-H23/$B$26</f>
        <v>100</v>
      </c>
      <c r="P23" s="17">
        <f t="shared" si="3"/>
        <v>0</v>
      </c>
      <c r="Q23" s="17">
        <f t="shared" ref="Q23:Q44" si="15">Q22+K23*$B$36-L23/$B$37</f>
        <v>140</v>
      </c>
      <c r="R23" s="17">
        <f t="shared" si="4"/>
        <v>0</v>
      </c>
      <c r="S23" s="38">
        <f t="shared" si="5"/>
        <v>0</v>
      </c>
      <c r="T23" s="17">
        <f t="shared" si="6"/>
        <v>6.2238410958903999E-2</v>
      </c>
      <c r="U23" s="19">
        <f>[2]solution!L4</f>
        <v>6.2238410958903999E-2</v>
      </c>
      <c r="V23" s="17">
        <f t="shared" si="7"/>
        <v>8.5058916266954998E-2</v>
      </c>
      <c r="W23" s="38">
        <f t="shared" si="8"/>
        <v>2.2820505308050999E-2</v>
      </c>
      <c r="X23" s="19">
        <f>[2]solution!M4</f>
        <v>0</v>
      </c>
      <c r="Y23" s="19">
        <f>[2]solution!N4</f>
        <v>0</v>
      </c>
      <c r="Z23" s="16">
        <f>H23+E23+$B$21*AN23-G23-F23-$B$22*AL23+Y23-X23</f>
        <v>-3.5527136788005009E-15</v>
      </c>
      <c r="AA23" s="16">
        <f>L23+I23+$B$32*AN23-K23-J23-$B$33*AM23-Y23+X23</f>
        <v>-3.4106051316484809E-13</v>
      </c>
      <c r="AB23">
        <f>F23*AI23-(AI23+AO23)*E23</f>
        <v>-1.5016137951079518</v>
      </c>
      <c r="AC23">
        <f>J23*AI23-(AI23+AO23)*I23</f>
        <v>-14.211715085553541</v>
      </c>
      <c r="AD23" s="4">
        <f t="shared" si="9"/>
        <v>0</v>
      </c>
      <c r="AE23" s="4">
        <f t="shared" si="10"/>
        <v>0</v>
      </c>
      <c r="AF23" s="4">
        <f t="shared" si="11"/>
        <v>0</v>
      </c>
      <c r="AG23" s="4">
        <f t="shared" si="12"/>
        <v>1.5016137951079522</v>
      </c>
      <c r="AH23">
        <f t="shared" si="13"/>
        <v>14.211715085553571</v>
      </c>
      <c r="AI23" s="8">
        <f>[1]data!C3</f>
        <v>6.2238410958903999E-2</v>
      </c>
      <c r="AJ23" s="8">
        <f>[1]data!C27</f>
        <v>564.29999999999995</v>
      </c>
      <c r="AK23" s="8">
        <f>[1]data!C51</f>
        <v>553.88959999999997</v>
      </c>
      <c r="AL23" s="8">
        <f>[1]data!C75</f>
        <v>7.6343641406536003E-2</v>
      </c>
      <c r="AM23" s="8">
        <f>[1]data!C99</f>
        <v>0.53417602902628303</v>
      </c>
      <c r="AN23" s="8"/>
      <c r="AO23" s="8">
        <f>[1]data!C135</f>
        <v>2.2820505308050999E-2</v>
      </c>
      <c r="AP23" s="22" t="s">
        <v>66</v>
      </c>
    </row>
    <row r="24" spans="1:44" ht="19" x14ac:dyDescent="0.2">
      <c r="A24" s="9" t="s">
        <v>9</v>
      </c>
      <c r="B24">
        <f>[1]C1!$A$1</f>
        <v>2000</v>
      </c>
      <c r="D24" s="4">
        <v>4</v>
      </c>
      <c r="E24" s="19">
        <f>[2]solution!B5</f>
        <v>17.3949589041096</v>
      </c>
      <c r="F24" s="19">
        <f>[2]solution!C5</f>
        <v>0</v>
      </c>
      <c r="G24" s="19">
        <f>[2]solution!D5</f>
        <v>0</v>
      </c>
      <c r="H24" s="19">
        <f>[2]solution!E5</f>
        <v>0</v>
      </c>
      <c r="I24" s="19">
        <f>[2]solution!F5</f>
        <v>505.642669893316</v>
      </c>
      <c r="J24" s="19">
        <f>[2]solution!G5</f>
        <v>0</v>
      </c>
      <c r="K24" s="19">
        <f>[2]solution!H5</f>
        <v>332.56931036833203</v>
      </c>
      <c r="L24" s="19">
        <f>[2]solution!I5</f>
        <v>0</v>
      </c>
      <c r="M24" s="19">
        <f>[2]solution!J5</f>
        <v>100</v>
      </c>
      <c r="N24" s="19">
        <f>[2]solution!K5</f>
        <v>445.963765538865</v>
      </c>
      <c r="O24" s="15">
        <f t="shared" si="14"/>
        <v>100</v>
      </c>
      <c r="P24" s="17">
        <f t="shared" si="3"/>
        <v>0</v>
      </c>
      <c r="Q24" s="17">
        <f t="shared" si="15"/>
        <v>445.96376553886546</v>
      </c>
      <c r="R24" s="17">
        <f t="shared" si="4"/>
        <v>4.5474735088646412E-13</v>
      </c>
      <c r="S24" s="38">
        <f t="shared" si="5"/>
        <v>0</v>
      </c>
      <c r="T24" s="17">
        <f t="shared" si="6"/>
        <v>6.0464136986301001E-2</v>
      </c>
      <c r="U24" s="19">
        <f>[2]solution!L5</f>
        <v>6.0464136986301001E-2</v>
      </c>
      <c r="V24" s="17">
        <f t="shared" si="7"/>
        <v>8.3284642294352007E-2</v>
      </c>
      <c r="W24" s="38">
        <f t="shared" si="8"/>
        <v>2.2820505308051006E-2</v>
      </c>
      <c r="X24" s="19">
        <f>[2]solution!M5</f>
        <v>0</v>
      </c>
      <c r="Y24" s="19">
        <f>[2]solution!N5</f>
        <v>0</v>
      </c>
      <c r="Z24" s="16">
        <f>H24+E24+$B$21*AN24-G24-F24-$B$22*AL24+Y24-X24</f>
        <v>-6.7501559897209518E-14</v>
      </c>
      <c r="AA24" s="16">
        <f>L24+I24+$B$32*AN24-K24-J24-$B$33*AM24-Y24+X24</f>
        <v>-4.5474735088646412E-13</v>
      </c>
      <c r="AB24">
        <f>F24*AI24-(AI24+AO24)*E24</f>
        <v>-1.4487329300537215</v>
      </c>
      <c r="AC24">
        <f>J24*AI24-(AI24+AO24)*I24</f>
        <v>-42.112268890825938</v>
      </c>
      <c r="AD24" s="4">
        <f t="shared" si="9"/>
        <v>0</v>
      </c>
      <c r="AE24" s="4">
        <f t="shared" si="10"/>
        <v>0</v>
      </c>
      <c r="AF24" s="4">
        <f t="shared" si="11"/>
        <v>0</v>
      </c>
      <c r="AG24" s="4">
        <f t="shared" si="12"/>
        <v>1.4487329300537271</v>
      </c>
      <c r="AH24">
        <f t="shared" si="13"/>
        <v>14.414352838720109</v>
      </c>
      <c r="AI24" s="8">
        <f>[1]data!C4</f>
        <v>6.0464136986301001E-2</v>
      </c>
      <c r="AJ24" s="8">
        <f>[1]data!C28</f>
        <v>564.29999999999995</v>
      </c>
      <c r="AK24" s="8">
        <f>[1]data!C52</f>
        <v>553.88959999999997</v>
      </c>
      <c r="AL24" s="8">
        <f>[1]data!C76</f>
        <v>7.5224251241957002E-2</v>
      </c>
      <c r="AM24" s="8">
        <f>[1]data!C100</f>
        <v>0.55333478411777104</v>
      </c>
      <c r="AN24" s="8"/>
      <c r="AO24" s="8">
        <f>[1]data!C136</f>
        <v>2.2820505308050999E-2</v>
      </c>
      <c r="AP24" s="22" t="s">
        <v>66</v>
      </c>
    </row>
    <row r="25" spans="1:44" ht="19" x14ac:dyDescent="0.2">
      <c r="A25" s="9" t="s">
        <v>10</v>
      </c>
      <c r="B25">
        <f>[1]eff_c1!$A$1</f>
        <v>0.93</v>
      </c>
      <c r="D25" s="4">
        <v>5</v>
      </c>
      <c r="E25" s="19">
        <f>[2]solution!B6</f>
        <v>17.182986301369901</v>
      </c>
      <c r="F25" s="19">
        <f>[2]solution!C6</f>
        <v>0</v>
      </c>
      <c r="G25" s="19">
        <f>[2]solution!D6</f>
        <v>0</v>
      </c>
      <c r="H25" s="19">
        <f>[2]solution!E6</f>
        <v>0</v>
      </c>
      <c r="I25" s="19">
        <f>[2]solution!F6</f>
        <v>193.603997280573</v>
      </c>
      <c r="J25" s="19">
        <f>[2]solution!G6</f>
        <v>0</v>
      </c>
      <c r="K25" s="19">
        <f>[2]solution!H6</f>
        <v>0</v>
      </c>
      <c r="L25" s="19">
        <f>[2]solution!I6</f>
        <v>0</v>
      </c>
      <c r="M25" s="19">
        <f>[2]solution!J6</f>
        <v>100</v>
      </c>
      <c r="N25" s="19">
        <f>[2]solution!K6</f>
        <v>445.963765538865</v>
      </c>
      <c r="O25" s="15">
        <f t="shared" si="14"/>
        <v>100</v>
      </c>
      <c r="P25" s="17">
        <f t="shared" si="3"/>
        <v>0</v>
      </c>
      <c r="Q25" s="17">
        <f t="shared" si="15"/>
        <v>445.96376553886546</v>
      </c>
      <c r="R25" s="17">
        <f t="shared" si="4"/>
        <v>4.5474735088646412E-13</v>
      </c>
      <c r="S25" s="38">
        <f t="shared" si="5"/>
        <v>0</v>
      </c>
      <c r="T25" s="17">
        <f t="shared" si="6"/>
        <v>6.0655534246575001E-2</v>
      </c>
      <c r="U25" s="19">
        <f>[2]solution!L6</f>
        <v>6.0655534246575001E-2</v>
      </c>
      <c r="V25" s="17">
        <f t="shared" si="7"/>
        <v>8.3476039554626E-2</v>
      </c>
      <c r="W25" s="38">
        <f t="shared" si="8"/>
        <v>2.2820505308050999E-2</v>
      </c>
      <c r="X25" s="19">
        <f>[2]solution!M6</f>
        <v>0</v>
      </c>
      <c r="Y25" s="19">
        <f>[2]solution!N6</f>
        <v>0</v>
      </c>
      <c r="Z25" s="16">
        <f>H25+E25+$B$21*AN25-G25-F25-$B$22*AL25+Y25-X25</f>
        <v>-7.815970093361102E-14</v>
      </c>
      <c r="AA25" s="16">
        <f>L25+I25+$B$32*AN25-K25-J25-$B$33*AM25-Y25+X25</f>
        <v>-3.1263880373444408E-13</v>
      </c>
      <c r="AB25">
        <f>F25*AI25-(AI25+AO25)*E25</f>
        <v>-1.4343676441597506</v>
      </c>
      <c r="AC25">
        <f>J25*AI25-(AI25+AO25)*I25</f>
        <v>-16.161294934926815</v>
      </c>
      <c r="AD25" s="4">
        <f t="shared" si="9"/>
        <v>0</v>
      </c>
      <c r="AE25" s="4">
        <f t="shared" si="10"/>
        <v>0</v>
      </c>
      <c r="AF25" s="4">
        <f t="shared" si="11"/>
        <v>0</v>
      </c>
      <c r="AG25" s="4">
        <f t="shared" si="12"/>
        <v>1.434367644159757</v>
      </c>
      <c r="AH25">
        <f t="shared" si="13"/>
        <v>16.161294934926843</v>
      </c>
      <c r="AI25" s="8">
        <f>[1]data!C5</f>
        <v>6.0655534246575001E-2</v>
      </c>
      <c r="AJ25" s="8">
        <f>[1]data!C29</f>
        <v>564.29999999999995</v>
      </c>
      <c r="AK25" s="8">
        <f>[1]data!C53</f>
        <v>553.88959999999997</v>
      </c>
      <c r="AL25" s="8">
        <f>[1]data!C77</f>
        <v>7.4307578750070005E-2</v>
      </c>
      <c r="AM25" s="8">
        <f>[1]data!C101</f>
        <v>0.61897351697341296</v>
      </c>
      <c r="AN25" s="8"/>
      <c r="AO25" s="8">
        <f>[1]data!C137</f>
        <v>2.2820505308050999E-2</v>
      </c>
      <c r="AP25" s="22" t="s">
        <v>66</v>
      </c>
    </row>
    <row r="26" spans="1:44" ht="19" x14ac:dyDescent="0.2">
      <c r="A26" s="9" t="s">
        <v>11</v>
      </c>
      <c r="B26">
        <f>[1]eff_d1!$A$1</f>
        <v>0.97</v>
      </c>
      <c r="D26" s="4">
        <v>6</v>
      </c>
      <c r="E26" s="19">
        <f>[2]solution!B7</f>
        <v>16.9050410958904</v>
      </c>
      <c r="F26" s="19">
        <f>[2]solution!C7</f>
        <v>0</v>
      </c>
      <c r="G26" s="19">
        <f>[2]solution!D7</f>
        <v>0</v>
      </c>
      <c r="H26" s="19">
        <f>[2]solution!E7</f>
        <v>0</v>
      </c>
      <c r="I26" s="19">
        <f>[2]solution!F7</f>
        <v>229.17505353605199</v>
      </c>
      <c r="J26" s="19">
        <f>[2]solution!G7</f>
        <v>0</v>
      </c>
      <c r="K26" s="19">
        <f>[2]solution!H7</f>
        <v>0</v>
      </c>
      <c r="L26" s="19">
        <f>[2]solution!I7</f>
        <v>0</v>
      </c>
      <c r="M26" s="19">
        <f>[2]solution!J7</f>
        <v>100</v>
      </c>
      <c r="N26" s="19">
        <f>[2]solution!K7</f>
        <v>445.963765538865</v>
      </c>
      <c r="O26" s="15">
        <f t="shared" si="14"/>
        <v>100</v>
      </c>
      <c r="P26" s="17">
        <f t="shared" si="3"/>
        <v>0</v>
      </c>
      <c r="Q26" s="17">
        <f t="shared" si="15"/>
        <v>445.96376553886546</v>
      </c>
      <c r="R26" s="17">
        <f t="shared" si="4"/>
        <v>4.5474735088646412E-13</v>
      </c>
      <c r="S26" s="38">
        <f t="shared" si="5"/>
        <v>0</v>
      </c>
      <c r="T26" s="17">
        <f t="shared" si="6"/>
        <v>6.5132136986301006E-2</v>
      </c>
      <c r="U26" s="19">
        <f>[2]solution!L7</f>
        <v>6.5132136986301006E-2</v>
      </c>
      <c r="V26" s="17">
        <f t="shared" si="7"/>
        <v>8.7952642294352013E-2</v>
      </c>
      <c r="W26" s="38">
        <f t="shared" si="8"/>
        <v>2.2820505308051006E-2</v>
      </c>
      <c r="X26" s="19">
        <f>[2]solution!M7</f>
        <v>0</v>
      </c>
      <c r="Y26" s="19">
        <f>[2]solution!N7</f>
        <v>0</v>
      </c>
      <c r="Z26" s="16">
        <f>H26+E26+$B$21*AN26-G26-F26-$B$22*AL26+Y26-X26</f>
        <v>-5.6843418860808015E-14</v>
      </c>
      <c r="AA26" s="16">
        <f>L26+I26+$B$32*AN26-K26-J26-$B$33*AM26-Y26+X26</f>
        <v>-6.8212102632969618E-13</v>
      </c>
      <c r="AB26">
        <f>F26*AI26-(AI26+AO26)*E26</f>
        <v>-1.486843032478169</v>
      </c>
      <c r="AC26">
        <f>J26*AI26-(AI26+AO26)*I26</f>
        <v>-20.156551506445354</v>
      </c>
      <c r="AD26" s="4">
        <f t="shared" si="9"/>
        <v>0</v>
      </c>
      <c r="AE26" s="4">
        <f t="shared" si="10"/>
        <v>0</v>
      </c>
      <c r="AF26" s="4">
        <f t="shared" si="11"/>
        <v>0</v>
      </c>
      <c r="AG26" s="4">
        <f t="shared" si="12"/>
        <v>1.4868430324781738</v>
      </c>
      <c r="AH26">
        <f t="shared" si="13"/>
        <v>20.156551506445414</v>
      </c>
      <c r="AI26" s="8">
        <f>[1]data!C6</f>
        <v>6.5132136986301006E-2</v>
      </c>
      <c r="AJ26" s="8">
        <f>[1]data!C30</f>
        <v>564.29999999999995</v>
      </c>
      <c r="AK26" s="8">
        <f>[1]data!C54</f>
        <v>553.88959999999997</v>
      </c>
      <c r="AL26" s="8">
        <f>[1]data!C78</f>
        <v>7.3105608680249998E-2</v>
      </c>
      <c r="AM26" s="8">
        <f>[1]data!C102</f>
        <v>0.73269814095937902</v>
      </c>
      <c r="AN26" s="8"/>
      <c r="AO26" s="8">
        <f>[1]data!C138</f>
        <v>2.2820505308050999E-2</v>
      </c>
      <c r="AP26" s="22" t="s">
        <v>66</v>
      </c>
    </row>
    <row r="27" spans="1:44" ht="19" x14ac:dyDescent="0.2">
      <c r="A27" s="9" t="s">
        <v>12</v>
      </c>
      <c r="B27">
        <f>[1]R_c1!$A$1</f>
        <v>0.2</v>
      </c>
      <c r="D27" s="4">
        <v>7</v>
      </c>
      <c r="E27" s="19">
        <f>[2]solution!B8</f>
        <v>0</v>
      </c>
      <c r="F27" s="19">
        <f>[2]solution!C8</f>
        <v>0</v>
      </c>
      <c r="G27" s="19">
        <f>[2]solution!D8</f>
        <v>0</v>
      </c>
      <c r="H27" s="19">
        <f>[2]solution!E8</f>
        <v>0</v>
      </c>
      <c r="I27" s="19">
        <f>[2]solution!F8</f>
        <v>0</v>
      </c>
      <c r="J27" s="19">
        <f>[2]solution!G8</f>
        <v>0</v>
      </c>
      <c r="K27" s="19">
        <f>[2]solution!H8</f>
        <v>0</v>
      </c>
      <c r="L27" s="19">
        <f>[2]solution!I8</f>
        <v>235.15338977002401</v>
      </c>
      <c r="M27" s="19">
        <f>[2]solution!J8</f>
        <v>100</v>
      </c>
      <c r="N27" s="19">
        <f>[2]solution!K8</f>
        <v>198.43388157041801</v>
      </c>
      <c r="O27" s="15">
        <f t="shared" si="14"/>
        <v>100</v>
      </c>
      <c r="P27" s="17">
        <f t="shared" si="3"/>
        <v>0</v>
      </c>
      <c r="Q27" s="17">
        <f t="shared" si="15"/>
        <v>198.43388157041912</v>
      </c>
      <c r="R27" s="17">
        <f t="shared" si="4"/>
        <v>1.1084466677857563E-12</v>
      </c>
      <c r="S27" s="38">
        <f t="shared" si="5"/>
        <v>0</v>
      </c>
      <c r="T27" s="17">
        <f t="shared" si="6"/>
        <v>7.3826082191780995E-2</v>
      </c>
      <c r="U27" s="19">
        <f>[2]solution!L8</f>
        <v>7.3826082191780995E-2</v>
      </c>
      <c r="V27" s="17">
        <f t="shared" si="7"/>
        <v>9.6646587499831987E-2</v>
      </c>
      <c r="W27" s="38">
        <f t="shared" si="8"/>
        <v>2.2820505308050992E-2</v>
      </c>
      <c r="X27" s="19">
        <f>[2]solution!M8</f>
        <v>10.0488268047945</v>
      </c>
      <c r="Y27" s="19">
        <f>[2]solution!N8</f>
        <v>0</v>
      </c>
      <c r="Z27" s="16">
        <f>H27+E27+$B$21*AN27-G27-F27-$B$22*AL27+Y27-X27</f>
        <v>6.2172489379008766E-14</v>
      </c>
      <c r="AA27" s="16">
        <f>L27+I27+$B$32*AN27-K27-J27-$B$33*AM27-Y27+X27</f>
        <v>-7.8337336617551045E-13</v>
      </c>
      <c r="AB27">
        <f>F27*AI27-(AI27+AO27)*E27</f>
        <v>0</v>
      </c>
      <c r="AC27">
        <f>J27*AI27-(AI27+AO27)*I27</f>
        <v>0</v>
      </c>
      <c r="AD27" s="4">
        <f t="shared" si="9"/>
        <v>0.72930448011573756</v>
      </c>
      <c r="AE27" s="4">
        <f t="shared" si="10"/>
        <v>-0.77954861413971011</v>
      </c>
      <c r="AF27" s="4">
        <f t="shared" si="11"/>
        <v>5.02441340239725E-2</v>
      </c>
      <c r="AG27" s="4">
        <f t="shared" si="12"/>
        <v>1.6405321332563905</v>
      </c>
      <c r="AH27">
        <f t="shared" si="13"/>
        <v>27.369967254137144</v>
      </c>
      <c r="AI27" s="8">
        <f>[1]data!C7</f>
        <v>7.3826082191780995E-2</v>
      </c>
      <c r="AJ27" s="8">
        <f>[1]data!C31</f>
        <v>564.29999999999995</v>
      </c>
      <c r="AK27" s="8">
        <f>[1]data!C55</f>
        <v>553.88959999999997</v>
      </c>
      <c r="AL27" s="8">
        <f>[1]data!C79</f>
        <v>7.3406190056999998E-2</v>
      </c>
      <c r="AM27" s="8">
        <f>[1]data!C103</f>
        <v>0.90541044825407002</v>
      </c>
      <c r="AN27" s="8">
        <f>[1]data!C121</f>
        <v>4.749275E-2</v>
      </c>
      <c r="AO27" s="8">
        <f>[1]data!C139</f>
        <v>2.2820505308050999E-2</v>
      </c>
      <c r="AP27" s="22" t="s">
        <v>66</v>
      </c>
    </row>
    <row r="28" spans="1:44" ht="19" x14ac:dyDescent="0.2">
      <c r="A28" s="9" t="s">
        <v>13</v>
      </c>
      <c r="B28">
        <f>[1]R_d1!$A$1</f>
        <v>0.2</v>
      </c>
      <c r="D28" s="4">
        <v>8</v>
      </c>
      <c r="E28" s="19">
        <f>[2]solution!B9</f>
        <v>0</v>
      </c>
      <c r="F28" s="19">
        <f>[2]solution!C9</f>
        <v>0</v>
      </c>
      <c r="G28" s="19">
        <f>[2]solution!D9</f>
        <v>0</v>
      </c>
      <c r="H28" s="19">
        <f>[2]solution!E9</f>
        <v>0</v>
      </c>
      <c r="I28" s="19">
        <f>[2]solution!F9</f>
        <v>0</v>
      </c>
      <c r="J28" s="19">
        <f>[2]solution!G9</f>
        <v>0</v>
      </c>
      <c r="K28" s="19">
        <f>[2]solution!H9</f>
        <v>0</v>
      </c>
      <c r="L28" s="19">
        <f>[2]solution!I9</f>
        <v>55.5121874918975</v>
      </c>
      <c r="M28" s="19">
        <f>[2]solution!J9</f>
        <v>100</v>
      </c>
      <c r="N28" s="19">
        <f>[2]solution!K9</f>
        <v>140</v>
      </c>
      <c r="O28" s="15">
        <f t="shared" si="14"/>
        <v>100</v>
      </c>
      <c r="P28" s="17">
        <f t="shared" si="3"/>
        <v>0</v>
      </c>
      <c r="Q28" s="17">
        <f t="shared" si="15"/>
        <v>140.00000000000068</v>
      </c>
      <c r="R28" s="17">
        <f t="shared" si="4"/>
        <v>6.8212102632969618E-13</v>
      </c>
      <c r="S28" s="38">
        <f t="shared" si="5"/>
        <v>0</v>
      </c>
      <c r="T28" s="17">
        <f t="shared" si="6"/>
        <v>7.6148794520547999E-2</v>
      </c>
      <c r="U28" s="19">
        <f>[2]solution!L9</f>
        <v>7.6148794520547999E-2</v>
      </c>
      <c r="V28" s="17">
        <f t="shared" si="7"/>
        <v>9.8969299828599006E-2</v>
      </c>
      <c r="W28" s="38">
        <f t="shared" si="8"/>
        <v>2.2820505308051006E-2</v>
      </c>
      <c r="X28" s="19">
        <f>[2]solution!M9</f>
        <v>94.044604159817197</v>
      </c>
      <c r="Y28" s="19">
        <f>[2]solution!N9</f>
        <v>0</v>
      </c>
      <c r="Z28" s="16">
        <f>H28+E28+$B$21*AN28-G28-F28-$B$22*AL28+Y28-X28</f>
        <v>0</v>
      </c>
      <c r="AA28" s="16">
        <f>L28+I28+$B$32*AN28-K28-J28-$B$33*AM28-Y28+X28</f>
        <v>0</v>
      </c>
      <c r="AB28">
        <f>F28*AI28-(AI28+AO28)*E28</f>
        <v>0</v>
      </c>
      <c r="AC28">
        <f>J28*AI28-(AI28+AO28)*I28</f>
        <v>0</v>
      </c>
      <c r="AD28" s="4">
        <f t="shared" si="9"/>
        <v>7.0438274827324214</v>
      </c>
      <c r="AE28" s="4">
        <f t="shared" si="10"/>
        <v>-7.5140505035315082</v>
      </c>
      <c r="AF28" s="4">
        <f t="shared" si="11"/>
        <v>0.47022302079908601</v>
      </c>
      <c r="AG28" s="4">
        <f t="shared" si="12"/>
        <v>1.957111125391376</v>
      </c>
      <c r="AH28">
        <f t="shared" si="13"/>
        <v>30.639337283726309</v>
      </c>
      <c r="AI28" s="8">
        <f>[1]data!C8</f>
        <v>7.6148794520547999E-2</v>
      </c>
      <c r="AJ28" s="8">
        <f>[1]data!C32</f>
        <v>564.29999999999995</v>
      </c>
      <c r="AK28" s="8">
        <f>[1]data!C56</f>
        <v>553.88959999999997</v>
      </c>
      <c r="AL28" s="8">
        <f>[1]data!C80</f>
        <v>8.5516408757497997E-2</v>
      </c>
      <c r="AM28" s="8">
        <f>[1]data!C104</f>
        <v>0.98977531384968997</v>
      </c>
      <c r="AN28" s="8">
        <f>[1]data!C122</f>
        <v>0.20003433333333301</v>
      </c>
      <c r="AO28" s="8">
        <f>[1]data!C140</f>
        <v>2.2820505308050999E-2</v>
      </c>
      <c r="AP28" s="22" t="s">
        <v>66</v>
      </c>
    </row>
    <row r="29" spans="1:44" ht="19" x14ac:dyDescent="0.2">
      <c r="A29" s="9" t="s">
        <v>14</v>
      </c>
      <c r="B29">
        <f>[1]DoD1!$A$1</f>
        <v>0.9</v>
      </c>
      <c r="D29" s="4">
        <v>9</v>
      </c>
      <c r="E29" s="19">
        <f>[2]solution!B10</f>
        <v>0</v>
      </c>
      <c r="F29" s="19">
        <f>[2]solution!C10</f>
        <v>0</v>
      </c>
      <c r="G29" s="19">
        <f>[2]solution!D10</f>
        <v>0</v>
      </c>
      <c r="H29" s="19">
        <f>[2]solution!E10</f>
        <v>0</v>
      </c>
      <c r="I29" s="19">
        <f>[2]solution!F10</f>
        <v>7.9322602884807898</v>
      </c>
      <c r="J29" s="19">
        <f>[2]solution!G10</f>
        <v>0</v>
      </c>
      <c r="K29" s="19">
        <f>[2]solution!H10</f>
        <v>0</v>
      </c>
      <c r="L29" s="19">
        <f>[2]solution!I10</f>
        <v>0</v>
      </c>
      <c r="M29" s="19">
        <f>[2]solution!J10</f>
        <v>100</v>
      </c>
      <c r="N29" s="19">
        <f>[2]solution!K10</f>
        <v>140</v>
      </c>
      <c r="O29" s="15">
        <f t="shared" si="14"/>
        <v>100</v>
      </c>
      <c r="P29" s="17">
        <f t="shared" si="3"/>
        <v>0</v>
      </c>
      <c r="Q29" s="17">
        <f t="shared" si="15"/>
        <v>140.00000000000068</v>
      </c>
      <c r="R29" s="17">
        <f t="shared" si="4"/>
        <v>6.8212102632969618E-13</v>
      </c>
      <c r="S29" s="38">
        <f t="shared" si="5"/>
        <v>0</v>
      </c>
      <c r="T29" s="17">
        <f t="shared" si="6"/>
        <v>6.9382712328766999E-2</v>
      </c>
      <c r="U29" s="19">
        <f>[2]solution!L10</f>
        <v>6.9382712328766999E-2</v>
      </c>
      <c r="V29" s="17">
        <f t="shared" si="7"/>
        <v>9.0457083634007604E-2</v>
      </c>
      <c r="W29" s="38">
        <f t="shared" si="8"/>
        <v>2.1074371305240605E-2</v>
      </c>
      <c r="X29" s="19">
        <f>[2]solution!M10</f>
        <v>7.2957661586756304</v>
      </c>
      <c r="Y29" s="19">
        <f>[2]solution!N10</f>
        <v>0</v>
      </c>
      <c r="Z29" s="16">
        <f>H29+E29+$B$21*AN29-G29-F29-$B$22*AL29+Y29-X29</f>
        <v>0</v>
      </c>
      <c r="AA29" s="16">
        <f>L29+I29+$B$32*AN29-K29-J29-$B$33*AM29-Y29+X29</f>
        <v>0</v>
      </c>
      <c r="AB29">
        <f>F29*AI29-(AI29+AO29)*E29</f>
        <v>0</v>
      </c>
      <c r="AC29">
        <f>J29*AI29-(AI29+AO29)*I29</f>
        <v>-0.71752913232182414</v>
      </c>
      <c r="AD29" s="4">
        <f t="shared" si="9"/>
        <v>0.49708033690700015</v>
      </c>
      <c r="AE29" s="4">
        <f t="shared" si="10"/>
        <v>-0.53355916770037837</v>
      </c>
      <c r="AF29" s="4">
        <f t="shared" si="11"/>
        <v>3.6478830793378152E-2</v>
      </c>
      <c r="AG29" s="4">
        <f t="shared" si="12"/>
        <v>18.483978165286771</v>
      </c>
      <c r="AH29">
        <f t="shared" si="13"/>
        <v>28.293380077906043</v>
      </c>
      <c r="AI29" s="8">
        <f>[1]data!C9</f>
        <v>6.9382712328766999E-2</v>
      </c>
      <c r="AJ29" s="8">
        <f>[1]data!C33</f>
        <v>338.05515300000002</v>
      </c>
      <c r="AK29" s="8">
        <f>[1]data!C57</f>
        <v>379.49779999999998</v>
      </c>
      <c r="AL29" s="8">
        <f>[1]data!C81</f>
        <v>0.883664344082149</v>
      </c>
      <c r="AM29" s="8">
        <f>[1]data!C105</f>
        <v>1</v>
      </c>
      <c r="AN29" s="8">
        <f>[1]data!C123</f>
        <v>0.37194291666666701</v>
      </c>
      <c r="AO29" s="8">
        <f>[1]data!C141</f>
        <v>2.1074371305240602E-2</v>
      </c>
      <c r="AP29" s="24" t="s">
        <v>67</v>
      </c>
      <c r="AQ29">
        <f>kappaP5*AJ29</f>
        <v>653.39638026992998</v>
      </c>
      <c r="AR29">
        <f>kappaP5*AK29</f>
        <v>733.49714281799993</v>
      </c>
    </row>
    <row r="30" spans="1:44" ht="19" x14ac:dyDescent="0.2">
      <c r="A30" s="9" t="s">
        <v>15</v>
      </c>
      <c r="B30">
        <f>[1]Pmax1!$A$1</f>
        <v>600</v>
      </c>
      <c r="D30" s="4">
        <v>10</v>
      </c>
      <c r="E30" s="19">
        <f>[2]solution!B11</f>
        <v>0</v>
      </c>
      <c r="F30" s="19">
        <f>[2]solution!C11</f>
        <v>0</v>
      </c>
      <c r="G30" s="19">
        <f>[2]solution!D11</f>
        <v>60.192606386986</v>
      </c>
      <c r="H30" s="19">
        <f>[2]solution!E11</f>
        <v>0</v>
      </c>
      <c r="I30" s="19">
        <f>[2]solution!F11</f>
        <v>0</v>
      </c>
      <c r="J30" s="19">
        <f>[2]solution!G11</f>
        <v>0</v>
      </c>
      <c r="K30" s="19">
        <f>[2]solution!H11</f>
        <v>103.180973631317</v>
      </c>
      <c r="L30" s="19">
        <f>[2]solution!I11</f>
        <v>0</v>
      </c>
      <c r="M30" s="19">
        <f>[2]solution!J11</f>
        <v>155.97912393989699</v>
      </c>
      <c r="N30" s="19">
        <f>[2]solution!K11</f>
        <v>234.92649574081199</v>
      </c>
      <c r="O30" s="15">
        <f t="shared" si="14"/>
        <v>155.97912393989699</v>
      </c>
      <c r="P30" s="17">
        <f t="shared" si="3"/>
        <v>0</v>
      </c>
      <c r="Q30" s="17">
        <f t="shared" si="15"/>
        <v>234.92649574081233</v>
      </c>
      <c r="R30" s="17">
        <f t="shared" si="4"/>
        <v>3.4106051316484809E-13</v>
      </c>
      <c r="S30" s="38">
        <f t="shared" si="5"/>
        <v>0</v>
      </c>
      <c r="T30" s="17">
        <f t="shared" si="6"/>
        <v>5.6760082191780997E-2</v>
      </c>
      <c r="U30" s="19">
        <f>[2]solution!L11</f>
        <v>5.6760082191780997E-2</v>
      </c>
      <c r="V30" s="17">
        <f t="shared" si="7"/>
        <v>8.8748430491131999E-2</v>
      </c>
      <c r="W30" s="38">
        <f t="shared" si="8"/>
        <v>3.1988348299351002E-2</v>
      </c>
      <c r="X30" s="19">
        <f>[2]solution!M11</f>
        <v>0</v>
      </c>
      <c r="Y30" s="19">
        <f>[2]solution!N11</f>
        <v>0</v>
      </c>
      <c r="Z30" s="16">
        <f>H30+E30+$B$21*AN30-G30-F30-$B$22*AL30+Y30-X30</f>
        <v>0</v>
      </c>
      <c r="AA30" s="16">
        <f>L30+I30+$B$32*AN30-K30-J30-$B$33*AM30-Y30+X30</f>
        <v>9.0949470177292824E-13</v>
      </c>
      <c r="AB30">
        <f>F30*AI30-(AI30+AO30)*E30</f>
        <v>0</v>
      </c>
      <c r="AC30">
        <f>J30*AI30-(AI30+AO30)*I30</f>
        <v>0</v>
      </c>
      <c r="AD30" s="4">
        <f t="shared" si="9"/>
        <v>0</v>
      </c>
      <c r="AE30" s="4">
        <f t="shared" si="10"/>
        <v>0</v>
      </c>
      <c r="AF30" s="4">
        <f t="shared" si="11"/>
        <v>0</v>
      </c>
      <c r="AG30" s="4">
        <f t="shared" si="12"/>
        <v>20.522308639961842</v>
      </c>
      <c r="AH30">
        <f t="shared" si="13"/>
        <v>27.207431178984503</v>
      </c>
      <c r="AI30" s="8">
        <f>[1]data!C10</f>
        <v>5.6760082191780997E-2</v>
      </c>
      <c r="AJ30" s="8">
        <f>[1]data!C34</f>
        <v>404.47</v>
      </c>
      <c r="AK30" s="8">
        <f>[1]data!C58</f>
        <v>494.17200000000003</v>
      </c>
      <c r="AL30" s="8">
        <f>[1]data!C82</f>
        <v>1</v>
      </c>
      <c r="AM30" s="8">
        <f>[1]data!C106</f>
        <v>0.980132084762807</v>
      </c>
      <c r="AN30" s="8">
        <f>[1]data!C124</f>
        <v>0.51218624999999995</v>
      </c>
      <c r="AO30" s="8">
        <f>[1]data!C142</f>
        <v>3.1988348299351002E-2</v>
      </c>
      <c r="AP30" s="25" t="s">
        <v>68</v>
      </c>
      <c r="AQ30">
        <f>kappaP3*AJ30</f>
        <v>2652.9874899000001</v>
      </c>
      <c r="AR30">
        <f>kappaP3*AK30</f>
        <v>3241.3581572400003</v>
      </c>
    </row>
    <row r="31" spans="1:44" ht="19" x14ac:dyDescent="0.2">
      <c r="A31" s="9" t="s">
        <v>16</v>
      </c>
      <c r="B31">
        <f>[1]Capacity01!$A$1</f>
        <v>-31713.9</v>
      </c>
      <c r="D31" s="4">
        <v>11</v>
      </c>
      <c r="E31" s="19">
        <f>[2]solution!B12</f>
        <v>0</v>
      </c>
      <c r="F31" s="19">
        <f>[2]solution!C12</f>
        <v>0</v>
      </c>
      <c r="G31" s="19">
        <f>[2]solution!D12</f>
        <v>120.64990789269299</v>
      </c>
      <c r="H31" s="19">
        <f>[2]solution!E12</f>
        <v>0</v>
      </c>
      <c r="I31" s="19">
        <f>[2]solution!F12</f>
        <v>0</v>
      </c>
      <c r="J31" s="19">
        <f>[2]solution!G12</f>
        <v>0</v>
      </c>
      <c r="K31" s="19">
        <f>[2]solution!H12</f>
        <v>184.54189433149099</v>
      </c>
      <c r="L31" s="19">
        <f>[2]solution!I12</f>
        <v>0</v>
      </c>
      <c r="M31" s="19">
        <f>[2]solution!J12</f>
        <v>268.183538280101</v>
      </c>
      <c r="N31" s="19">
        <f>[2]solution!K12</f>
        <v>404.705038525784</v>
      </c>
      <c r="O31" s="15">
        <f t="shared" si="14"/>
        <v>268.18353828010152</v>
      </c>
      <c r="P31" s="17">
        <f t="shared" si="3"/>
        <v>5.1159076974727213E-13</v>
      </c>
      <c r="Q31" s="17">
        <f t="shared" si="15"/>
        <v>404.70503852578406</v>
      </c>
      <c r="R31" s="17">
        <f t="shared" si="4"/>
        <v>0</v>
      </c>
      <c r="S31" s="38">
        <f t="shared" si="5"/>
        <v>0</v>
      </c>
      <c r="T31" s="17">
        <f t="shared" si="6"/>
        <v>4.6949369863013998E-2</v>
      </c>
      <c r="U31" s="19">
        <f>[2]solution!L12</f>
        <v>4.6949369863013998E-2</v>
      </c>
      <c r="V31" s="17">
        <f t="shared" si="7"/>
        <v>6.9140017297981499E-2</v>
      </c>
      <c r="W31" s="38">
        <f t="shared" si="8"/>
        <v>2.21906474349675E-2</v>
      </c>
      <c r="X31" s="19">
        <f>[2]solution!M12</f>
        <v>0</v>
      </c>
      <c r="Y31" s="19">
        <f>[2]solution!N12</f>
        <v>0</v>
      </c>
      <c r="Z31" s="16">
        <f>H31+E31+$B$21*AN31-G31-F31-$B$22*AL31+Y31-X31</f>
        <v>4.5474735088646412E-13</v>
      </c>
      <c r="AA31" s="16">
        <f>L31+I31+$B$32*AN31-K31-J31-$B$33*AM31-Y31+X31</f>
        <v>5.6843418860808015E-14</v>
      </c>
      <c r="AB31">
        <f>F31*AI31-(AI31+AO31)*E31</f>
        <v>0</v>
      </c>
      <c r="AC31">
        <f>J31*AI31-(AI31+AO31)*I31</f>
        <v>0</v>
      </c>
      <c r="AD31" s="4">
        <f t="shared" si="9"/>
        <v>0</v>
      </c>
      <c r="AE31" s="4">
        <f t="shared" si="10"/>
        <v>0</v>
      </c>
      <c r="AF31" s="4">
        <f t="shared" si="11"/>
        <v>0</v>
      </c>
      <c r="AG31" s="4">
        <f t="shared" si="12"/>
        <v>15.464358244334621</v>
      </c>
      <c r="AH31">
        <f t="shared" si="13"/>
        <v>20.711554013029961</v>
      </c>
      <c r="AI31" s="8">
        <f>[1]data!C11</f>
        <v>4.6949369863013998E-2</v>
      </c>
      <c r="AJ31" s="8">
        <f>[1]data!C35</f>
        <v>442.91</v>
      </c>
      <c r="AK31" s="8">
        <f>[1]data!C59</f>
        <v>561.32090000000005</v>
      </c>
      <c r="AL31" s="8">
        <f>[1]data!C83</f>
        <v>0.96724587130093598</v>
      </c>
      <c r="AM31" s="8">
        <f>[1]data!C107</f>
        <v>0.957725277555312</v>
      </c>
      <c r="AN31" s="8">
        <f>[1]data!C125</f>
        <v>0.60512683333333295</v>
      </c>
      <c r="AO31" s="8">
        <f>[1]data!C143</f>
        <v>2.21906474349675E-2</v>
      </c>
      <c r="AP31" s="26" t="s">
        <v>69</v>
      </c>
      <c r="AQ31">
        <f>kappaP4*AJ31</f>
        <v>2290.7703818999998</v>
      </c>
      <c r="AR31">
        <f>kappaP4*AK31</f>
        <v>2903.2022136810001</v>
      </c>
    </row>
    <row r="32" spans="1:44" ht="19" x14ac:dyDescent="0.2">
      <c r="A32" s="9" t="s">
        <v>17</v>
      </c>
      <c r="B32">
        <f>[1]Ppvmax2!$A$1</f>
        <v>800</v>
      </c>
      <c r="D32" s="4">
        <v>12</v>
      </c>
      <c r="E32" s="19">
        <f>[2]solution!B13</f>
        <v>119.57084821545899</v>
      </c>
      <c r="F32" s="19">
        <f>[2]solution!C13</f>
        <v>0</v>
      </c>
      <c r="G32" s="19">
        <f>[2]solution!D13</f>
        <v>263.278115984865</v>
      </c>
      <c r="H32" s="19">
        <f>[2]solution!E13</f>
        <v>0</v>
      </c>
      <c r="I32" s="19">
        <f>[2]solution!F13</f>
        <v>0</v>
      </c>
      <c r="J32" s="19">
        <f>[2]solution!G13</f>
        <v>0</v>
      </c>
      <c r="K32" s="19">
        <f>[2]solution!H13</f>
        <v>221.50564933140899</v>
      </c>
      <c r="L32" s="19">
        <f>[2]solution!I13</f>
        <v>0</v>
      </c>
      <c r="M32" s="19">
        <f>[2]solution!J13</f>
        <v>513.03218614602702</v>
      </c>
      <c r="N32" s="19">
        <f>[2]solution!K13</f>
        <v>608.49023591067998</v>
      </c>
      <c r="O32" s="15">
        <f t="shared" si="14"/>
        <v>513.03218614602599</v>
      </c>
      <c r="P32" s="17">
        <f t="shared" si="3"/>
        <v>-1.0231815394945443E-12</v>
      </c>
      <c r="Q32" s="17">
        <f t="shared" si="15"/>
        <v>608.49023591068033</v>
      </c>
      <c r="R32" s="17">
        <f t="shared" si="4"/>
        <v>0</v>
      </c>
      <c r="S32" s="38">
        <f t="shared" si="5"/>
        <v>0</v>
      </c>
      <c r="T32" s="17">
        <f t="shared" si="6"/>
        <v>4.1846739726027003E-2</v>
      </c>
      <c r="U32" s="19">
        <f>[2]solution!L13</f>
        <v>4.1846739726027003E-2</v>
      </c>
      <c r="V32" s="17">
        <f t="shared" si="7"/>
        <v>6.4037387160994497E-2</v>
      </c>
      <c r="W32" s="38">
        <f t="shared" si="8"/>
        <v>2.2190647434967493E-2</v>
      </c>
      <c r="X32" s="19">
        <f>[2]solution!M13</f>
        <v>0</v>
      </c>
      <c r="Y32" s="19">
        <f>[2]solution!N13</f>
        <v>0</v>
      </c>
      <c r="Z32" s="16">
        <f>H32+E32+$B$21*AN32-G32-F32-$B$22*AL32+Y32-X32</f>
        <v>4.2632564145606011E-13</v>
      </c>
      <c r="AA32" s="16">
        <f>L32+I32+$B$32*AN32-K32-J32-$B$33*AM32-Y32+X32</f>
        <v>5.6843418860808015E-14</v>
      </c>
      <c r="AB32">
        <f>F32*AI32-(AI32+AO32)*E32</f>
        <v>-7.6570047003418553</v>
      </c>
      <c r="AC32">
        <f>J32*AI32-(AI32+AO32)*I32</f>
        <v>0</v>
      </c>
      <c r="AD32" s="4">
        <f t="shared" si="9"/>
        <v>0</v>
      </c>
      <c r="AE32" s="4">
        <f t="shared" si="10"/>
        <v>0</v>
      </c>
      <c r="AF32" s="4">
        <f t="shared" si="11"/>
        <v>0</v>
      </c>
      <c r="AG32" s="4">
        <f t="shared" si="12"/>
        <v>14.310692812865035</v>
      </c>
      <c r="AH32">
        <f t="shared" si="13"/>
        <v>18.874521484187856</v>
      </c>
      <c r="AI32" s="8">
        <f>[1]data!C12</f>
        <v>4.1846739726027003E-2</v>
      </c>
      <c r="AJ32" s="8">
        <f>[1]data!C36</f>
        <v>442.91</v>
      </c>
      <c r="AK32" s="8">
        <f>[1]data!C60</f>
        <v>561.32090000000005</v>
      </c>
      <c r="AL32" s="8">
        <f>[1]data!C84</f>
        <v>0.96641023848649898</v>
      </c>
      <c r="AM32" s="8">
        <f>[1]data!C108</f>
        <v>0.94232365770917104</v>
      </c>
      <c r="AN32" s="8">
        <f>[1]data!C126</f>
        <v>0.64530983333333303</v>
      </c>
      <c r="AO32" s="8">
        <f>[1]data!C144</f>
        <v>2.21906474349675E-2</v>
      </c>
      <c r="AP32" s="26" t="s">
        <v>69</v>
      </c>
    </row>
    <row r="33" spans="1:44" ht="19" x14ac:dyDescent="0.2">
      <c r="A33" s="9" t="s">
        <v>18</v>
      </c>
      <c r="B33" s="2">
        <f>[1]Plmax2!$A$1</f>
        <v>312.78235978049003</v>
      </c>
      <c r="D33" s="4">
        <v>13</v>
      </c>
      <c r="E33" s="19">
        <f>[2]solution!B14</f>
        <v>71.497784926940398</v>
      </c>
      <c r="F33" s="19">
        <f>[2]solution!C14</f>
        <v>0</v>
      </c>
      <c r="G33" s="19">
        <f>[2]solution!D14</f>
        <v>400</v>
      </c>
      <c r="H33" s="19">
        <f>[2]solution!E14</f>
        <v>0</v>
      </c>
      <c r="I33" s="19">
        <f>[2]solution!F14</f>
        <v>340.478591266953</v>
      </c>
      <c r="J33" s="19">
        <f>[2]solution!G14</f>
        <v>0</v>
      </c>
      <c r="K33" s="19">
        <f>[2]solution!H14</f>
        <v>556.56560421286497</v>
      </c>
      <c r="L33" s="19">
        <f>[2]solution!I14</f>
        <v>0</v>
      </c>
      <c r="M33" s="19">
        <f>[2]solution!J14</f>
        <v>885.03218614602702</v>
      </c>
      <c r="N33" s="19">
        <f>[2]solution!K14</f>
        <v>1120.5305917865101</v>
      </c>
      <c r="O33" s="15">
        <f t="shared" si="14"/>
        <v>885.03218614602599</v>
      </c>
      <c r="P33" s="17">
        <f t="shared" si="3"/>
        <v>-1.0231815394945443E-12</v>
      </c>
      <c r="Q33" s="17">
        <f t="shared" si="15"/>
        <v>1120.5305917865162</v>
      </c>
      <c r="R33" s="17">
        <f t="shared" si="4"/>
        <v>6.1390892369672656E-12</v>
      </c>
      <c r="S33" s="38">
        <f t="shared" si="5"/>
        <v>0</v>
      </c>
      <c r="T33" s="17">
        <f t="shared" si="6"/>
        <v>3.9593726027396997E-2</v>
      </c>
      <c r="U33" s="19">
        <f>[2]solution!L14</f>
        <v>3.9593726027396997E-2</v>
      </c>
      <c r="V33" s="17">
        <f t="shared" si="7"/>
        <v>6.1784373462364497E-2</v>
      </c>
      <c r="W33" s="38">
        <f t="shared" si="8"/>
        <v>2.21906474349675E-2</v>
      </c>
      <c r="X33" s="19">
        <f>[2]solution!M14</f>
        <v>0</v>
      </c>
      <c r="Y33" s="19">
        <f>[2]solution!N14</f>
        <v>0</v>
      </c>
      <c r="Z33" s="16">
        <f>H33+E33+$B$21*AN33-G33-F33-$B$22*AL33+Y33-X33</f>
        <v>-6.0396132539608516E-14</v>
      </c>
      <c r="AA33" s="16">
        <f>L33+I33+$B$32*AN33-K33-J33-$B$33*AM33-Y33+X33</f>
        <v>-6.8212102632969618E-13</v>
      </c>
      <c r="AB33">
        <f>F33*AI33-(AI33+AO33)*E33</f>
        <v>-4.4174458456579009</v>
      </c>
      <c r="AC33">
        <f>J33*AI33-(AI33+AO33)*I33</f>
        <v>-21.03625643877718</v>
      </c>
      <c r="AD33" s="4">
        <f t="shared" si="9"/>
        <v>0</v>
      </c>
      <c r="AE33" s="4">
        <f t="shared" si="10"/>
        <v>0</v>
      </c>
      <c r="AF33" s="4">
        <f t="shared" si="11"/>
        <v>0</v>
      </c>
      <c r="AG33" s="4">
        <f t="shared" si="12"/>
        <v>1.7551332414225171</v>
      </c>
      <c r="AH33">
        <f t="shared" si="13"/>
        <v>17.652976839354782</v>
      </c>
      <c r="AI33" s="8">
        <f>[1]data!C13</f>
        <v>3.9593726027396997E-2</v>
      </c>
      <c r="AJ33" s="8">
        <f>[1]data!C37</f>
        <v>442.91</v>
      </c>
      <c r="AK33" s="8">
        <f>[1]data!C61</f>
        <v>561.32090000000005</v>
      </c>
      <c r="AL33" s="8">
        <f>[1]data!C85</f>
        <v>0.122847383567665</v>
      </c>
      <c r="AM33" s="8">
        <f>[1]data!C109</f>
        <v>0.91347581298363301</v>
      </c>
      <c r="AN33" s="8">
        <f>[1]data!C127</f>
        <v>0.62725766666666705</v>
      </c>
      <c r="AO33" s="8">
        <f>[1]data!C145</f>
        <v>2.21906474349675E-2</v>
      </c>
      <c r="AP33" s="26" t="s">
        <v>69</v>
      </c>
    </row>
    <row r="34" spans="1:44" ht="19" x14ac:dyDescent="0.2">
      <c r="A34" s="9" t="s">
        <v>19</v>
      </c>
      <c r="B34">
        <f>[1]SOC02!$A$1</f>
        <v>140</v>
      </c>
      <c r="D34" s="4">
        <v>14</v>
      </c>
      <c r="E34" s="19">
        <f>[2]solution!B15</f>
        <v>282.66161453995397</v>
      </c>
      <c r="F34" s="19">
        <f>[2]solution!C15</f>
        <v>0</v>
      </c>
      <c r="G34" s="19">
        <f>[2]solution!D15</f>
        <v>400</v>
      </c>
      <c r="H34" s="19">
        <f>[2]solution!E15</f>
        <v>0</v>
      </c>
      <c r="I34" s="19">
        <f>[2]solution!F15</f>
        <v>650</v>
      </c>
      <c r="J34" s="19">
        <f>[2]solution!G15</f>
        <v>0</v>
      </c>
      <c r="K34" s="19">
        <f>[2]solution!H15</f>
        <v>826.680536754542</v>
      </c>
      <c r="L34" s="19">
        <f>[2]solution!I15</f>
        <v>0</v>
      </c>
      <c r="M34" s="19">
        <f>[2]solution!J15</f>
        <v>1257.03218614602</v>
      </c>
      <c r="N34" s="19">
        <f>[2]solution!K15</f>
        <v>1881.0766856006901</v>
      </c>
      <c r="O34" s="15">
        <f t="shared" si="14"/>
        <v>1257.0321861460261</v>
      </c>
      <c r="P34" s="17">
        <f t="shared" si="3"/>
        <v>6.1390892369672656E-12</v>
      </c>
      <c r="Q34" s="17">
        <f t="shared" si="15"/>
        <v>1881.0766856006949</v>
      </c>
      <c r="R34" s="17">
        <f t="shared" si="4"/>
        <v>4.7748471843078732E-12</v>
      </c>
      <c r="S34" s="38">
        <f t="shared" si="5"/>
        <v>0</v>
      </c>
      <c r="T34" s="17">
        <f t="shared" si="6"/>
        <v>3.7885123287670998E-2</v>
      </c>
      <c r="U34" s="19">
        <f>[2]solution!L15</f>
        <v>3.7885123287670998E-2</v>
      </c>
      <c r="V34" s="17">
        <f t="shared" si="7"/>
        <v>6.0075770722638498E-2</v>
      </c>
      <c r="W34" s="38">
        <f t="shared" si="8"/>
        <v>2.21906474349675E-2</v>
      </c>
      <c r="X34" s="19">
        <f>[2]solution!M15</f>
        <v>0</v>
      </c>
      <c r="Y34" s="19">
        <f>[2]solution!N15</f>
        <v>0</v>
      </c>
      <c r="Z34">
        <f>H34+E34+$B$21*AN34-G34-F34-$B$22*AL34+Y34-X34</f>
        <v>-5.4001247917767614E-13</v>
      </c>
      <c r="AA34">
        <f>L34+I34+$B$32*AN34-K34-J34-$B$33*AM34-Y34+X34</f>
        <v>5.6843418860808015E-14</v>
      </c>
      <c r="AB34">
        <f>F34*AI34-(AI34+AO34)*E34</f>
        <v>-16.981114347193095</v>
      </c>
      <c r="AC34">
        <f>J34*AI34-(AI34+AO34)*I34</f>
        <v>-39.049250969715025</v>
      </c>
      <c r="AD34" s="4">
        <f t="shared" si="9"/>
        <v>0</v>
      </c>
      <c r="AE34" s="4">
        <f t="shared" si="10"/>
        <v>0</v>
      </c>
      <c r="AF34" s="4">
        <f t="shared" si="11"/>
        <v>0</v>
      </c>
      <c r="AG34" s="4">
        <f t="shared" si="12"/>
        <v>12.394158191768868</v>
      </c>
      <c r="AH34">
        <f t="shared" si="13"/>
        <v>16.722655287359476</v>
      </c>
      <c r="AI34" s="8">
        <f>[1]data!C14</f>
        <v>3.7885123287670998E-2</v>
      </c>
      <c r="AJ34" s="8">
        <f>[1]data!C38</f>
        <v>442.91</v>
      </c>
      <c r="AK34" s="8">
        <f>[1]data!C62</f>
        <v>561.32090000000005</v>
      </c>
      <c r="AL34" s="8">
        <f>[1]data!C86</f>
        <v>0.89217931568864195</v>
      </c>
      <c r="AM34" s="8">
        <f>[1]data!C110</f>
        <v>0.88994595722771397</v>
      </c>
      <c r="AN34" s="8">
        <f>[1]data!C128</f>
        <v>0.56879991666666696</v>
      </c>
      <c r="AO34" s="8">
        <f>[1]data!C146</f>
        <v>2.21906474349675E-2</v>
      </c>
      <c r="AP34" s="26" t="s">
        <v>69</v>
      </c>
    </row>
    <row r="35" spans="1:44" ht="19" x14ac:dyDescent="0.2">
      <c r="A35" s="9" t="s">
        <v>20</v>
      </c>
      <c r="B35">
        <f>[1]C2!$A$1</f>
        <v>2800</v>
      </c>
      <c r="D35" s="4">
        <v>15</v>
      </c>
      <c r="E35" s="19">
        <f>[2]solution!B16</f>
        <v>338.05515300000002</v>
      </c>
      <c r="F35" s="19">
        <f>[2]solution!C16</f>
        <v>0</v>
      </c>
      <c r="G35" s="19">
        <f>[2]solution!D16</f>
        <v>383.26715942808198</v>
      </c>
      <c r="H35" s="19">
        <f>[2]solution!E16</f>
        <v>0</v>
      </c>
      <c r="I35" s="19">
        <f>[2]solution!F16</f>
        <v>379.49779999999998</v>
      </c>
      <c r="J35" s="19">
        <f>[2]solution!G16</f>
        <v>0</v>
      </c>
      <c r="K35" s="19">
        <f>[2]solution!H16</f>
        <v>480.702157029619</v>
      </c>
      <c r="L35" s="19">
        <f>[2]solution!I16</f>
        <v>0</v>
      </c>
      <c r="M35" s="19">
        <f>[2]solution!J16</f>
        <v>1613.47064441414</v>
      </c>
      <c r="N35" s="19">
        <f>[2]solution!K16</f>
        <v>2323.3226700679402</v>
      </c>
      <c r="O35" s="15">
        <f t="shared" si="14"/>
        <v>1613.4706444141425</v>
      </c>
      <c r="P35" s="17">
        <f t="shared" si="3"/>
        <v>2.5011104298755527E-12</v>
      </c>
      <c r="Q35" s="17">
        <f t="shared" si="15"/>
        <v>2323.3226700679443</v>
      </c>
      <c r="R35" s="17">
        <f t="shared" si="4"/>
        <v>4.0927261579781771E-12</v>
      </c>
      <c r="S35" s="38">
        <f t="shared" si="5"/>
        <v>0</v>
      </c>
      <c r="T35" s="17">
        <f t="shared" si="6"/>
        <v>3.6840931506849001E-2</v>
      </c>
      <c r="U35" s="19">
        <f>[2]solution!L16</f>
        <v>3.6840931506849001E-2</v>
      </c>
      <c r="V35" s="17">
        <f t="shared" si="7"/>
        <v>5.7915302812089606E-2</v>
      </c>
      <c r="W35" s="38">
        <f t="shared" si="8"/>
        <v>2.1074371305240605E-2</v>
      </c>
      <c r="X35" s="19">
        <f>[2]solution!M16</f>
        <v>0</v>
      </c>
      <c r="Y35" s="19">
        <f>[2]solution!N16</f>
        <v>0</v>
      </c>
      <c r="Z35">
        <f>H35+E35+$B$21*AN35-G35-F35-$B$22*AL35+Y35-X35</f>
        <v>5.6843418860808015E-14</v>
      </c>
      <c r="AA35">
        <f>L35+I35+$B$32*AN35-K35-J35-$B$33*AM35-Y35+X35</f>
        <v>6.2527760746888816E-13</v>
      </c>
      <c r="AB35">
        <f>F35*AI35-(AI35+AO35)*E35</f>
        <v>-19.578566553182284</v>
      </c>
      <c r="AC35">
        <f>J35*AI35-(AI35+AO35)*I35</f>
        <v>-21.978730003521818</v>
      </c>
      <c r="AD35" s="4">
        <f t="shared" si="9"/>
        <v>0</v>
      </c>
      <c r="AE35" s="4">
        <f t="shared" si="10"/>
        <v>0</v>
      </c>
      <c r="AF35" s="4">
        <f t="shared" si="11"/>
        <v>0</v>
      </c>
      <c r="AG35" s="4">
        <f t="shared" si="12"/>
        <v>12.975447578861187</v>
      </c>
      <c r="AH35">
        <f t="shared" si="13"/>
        <v>16.063379293543203</v>
      </c>
      <c r="AI35" s="8">
        <f>[1]data!C15</f>
        <v>3.6840931506849001E-2</v>
      </c>
      <c r="AJ35" s="8">
        <f>[1]data!C39</f>
        <v>338.05515300000002</v>
      </c>
      <c r="AK35" s="8">
        <f>[1]data!C63</f>
        <v>379.49779999999998</v>
      </c>
      <c r="AL35" s="8">
        <f>[1]data!C87</f>
        <v>0.968865480059381</v>
      </c>
      <c r="AM35" s="8">
        <f>[1]data!C111</f>
        <v>0.88675027314529797</v>
      </c>
      <c r="AN35" s="8">
        <f>[1]data!C129</f>
        <v>0.47320525000000002</v>
      </c>
      <c r="AO35" s="8">
        <f>[1]data!C147</f>
        <v>2.1074371305240602E-2</v>
      </c>
      <c r="AP35" s="24" t="s">
        <v>67</v>
      </c>
    </row>
    <row r="36" spans="1:44" ht="19" x14ac:dyDescent="0.2">
      <c r="A36" s="9" t="s">
        <v>21</v>
      </c>
      <c r="B36">
        <f>[1]eff_c2!$A$1</f>
        <v>0.92</v>
      </c>
      <c r="D36" s="4">
        <v>16</v>
      </c>
      <c r="E36" s="19">
        <f>[2]solution!B17</f>
        <v>338.05515300000002</v>
      </c>
      <c r="F36" s="19">
        <f>[2]solution!C17</f>
        <v>0</v>
      </c>
      <c r="G36" s="19">
        <f>[2]solution!D17</f>
        <v>308.09608127511399</v>
      </c>
      <c r="H36" s="19">
        <f>[2]solution!E17</f>
        <v>0</v>
      </c>
      <c r="I36" s="19">
        <f>[2]solution!F17</f>
        <v>379.49779999999998</v>
      </c>
      <c r="J36" s="19">
        <f>[2]solution!G17</f>
        <v>0</v>
      </c>
      <c r="K36" s="19">
        <f>[2]solution!H17</f>
        <v>365.95361949136299</v>
      </c>
      <c r="L36" s="19">
        <f>[2]solution!I17</f>
        <v>0</v>
      </c>
      <c r="M36" s="19">
        <f>[2]solution!J17</f>
        <v>1900</v>
      </c>
      <c r="N36" s="19">
        <f>[2]solution!K17</f>
        <v>2660</v>
      </c>
      <c r="O36" s="15">
        <f t="shared" si="14"/>
        <v>1899.9999999999986</v>
      </c>
      <c r="P36" s="17">
        <f t="shared" si="3"/>
        <v>0</v>
      </c>
      <c r="Q36" s="17">
        <f t="shared" si="15"/>
        <v>2659.9999999999982</v>
      </c>
      <c r="R36" s="17">
        <f t="shared" si="4"/>
        <v>0</v>
      </c>
      <c r="S36" s="38">
        <f t="shared" si="5"/>
        <v>0</v>
      </c>
      <c r="T36" s="17">
        <f t="shared" si="6"/>
        <v>3.8253698630137001E-2</v>
      </c>
      <c r="U36" s="19">
        <f>[2]solution!L17</f>
        <v>3.8253698630137001E-2</v>
      </c>
      <c r="V36" s="17">
        <f t="shared" si="7"/>
        <v>5.9328069935377606E-2</v>
      </c>
      <c r="W36" s="38">
        <f t="shared" si="8"/>
        <v>2.1074371305240605E-2</v>
      </c>
      <c r="X36" s="19">
        <f>[2]solution!M17</f>
        <v>0</v>
      </c>
      <c r="Y36" s="19">
        <f>[2]solution!N17</f>
        <v>0</v>
      </c>
      <c r="Z36">
        <f>H36+E36+$B$21*AN36-G36-F36-$B$22*AL36+Y36-X36</f>
        <v>5.9685589803848416E-13</v>
      </c>
      <c r="AA36">
        <f>L36+I36+$B$32*AN36-K36-J36-$B$33*AM36-Y36+X36</f>
        <v>3.4106051316484809E-13</v>
      </c>
      <c r="AB36">
        <f>F36*AI36-(AI36+AO36)*E36</f>
        <v>-20.056159759198778</v>
      </c>
      <c r="AC36">
        <f>J36*AI36-(AI36+AO36)*I36</f>
        <v>-22.514872018721942</v>
      </c>
      <c r="AD36" s="4">
        <f t="shared" si="9"/>
        <v>0</v>
      </c>
      <c r="AE36" s="4">
        <f t="shared" si="10"/>
        <v>0</v>
      </c>
      <c r="AF36" s="4">
        <f t="shared" si="11"/>
        <v>0</v>
      </c>
      <c r="AG36" s="4">
        <f t="shared" si="12"/>
        <v>13.159198347666763</v>
      </c>
      <c r="AH36">
        <f t="shared" si="13"/>
        <v>16.806058974442582</v>
      </c>
      <c r="AI36" s="8">
        <f>[1]data!C16</f>
        <v>3.8253698630137001E-2</v>
      </c>
      <c r="AJ36" s="8">
        <f>[1]data!C40</f>
        <v>338.05515300000002</v>
      </c>
      <c r="AK36" s="8">
        <f>[1]data!C64</f>
        <v>379.49779999999998</v>
      </c>
      <c r="AL36" s="8">
        <f>[1]data!C88</f>
        <v>0.95918787343118705</v>
      </c>
      <c r="AM36" s="8">
        <f>[1]data!C112</f>
        <v>0.90565629737166398</v>
      </c>
      <c r="AN36" s="8">
        <f>[1]data!C130</f>
        <v>0.33716141666666699</v>
      </c>
      <c r="AO36" s="8">
        <f>[1]data!C148</f>
        <v>2.1074371305240602E-2</v>
      </c>
      <c r="AP36" s="24" t="s">
        <v>67</v>
      </c>
    </row>
    <row r="37" spans="1:44" ht="19" x14ac:dyDescent="0.2">
      <c r="A37" s="9" t="s">
        <v>22</v>
      </c>
      <c r="B37">
        <f>[1]eff_d2!$A$1</f>
        <v>0.95</v>
      </c>
      <c r="D37" s="4">
        <v>17</v>
      </c>
      <c r="E37" s="19">
        <f>[2]solution!B18</f>
        <v>111.75630751484</v>
      </c>
      <c r="F37" s="19">
        <f>[2]solution!C18</f>
        <v>0</v>
      </c>
      <c r="G37" s="19">
        <f>[2]solution!D18</f>
        <v>0</v>
      </c>
      <c r="H37" s="19">
        <f>[2]solution!E18</f>
        <v>0</v>
      </c>
      <c r="I37" s="19">
        <f>[2]solution!F18</f>
        <v>118.7279734147</v>
      </c>
      <c r="J37" s="19">
        <f>[2]solution!G18</f>
        <v>0</v>
      </c>
      <c r="K37" s="19">
        <f>[2]solution!H18</f>
        <v>0</v>
      </c>
      <c r="L37" s="19">
        <f>[2]solution!I18</f>
        <v>0</v>
      </c>
      <c r="M37" s="19">
        <f>[2]solution!J18</f>
        <v>1900</v>
      </c>
      <c r="N37" s="19">
        <f>[2]solution!K18</f>
        <v>2660</v>
      </c>
      <c r="O37" s="15">
        <f t="shared" si="14"/>
        <v>1899.9999999999986</v>
      </c>
      <c r="P37" s="17">
        <f t="shared" si="3"/>
        <v>0</v>
      </c>
      <c r="Q37" s="17">
        <f t="shared" si="15"/>
        <v>2659.9999999999982</v>
      </c>
      <c r="R37" s="17">
        <f t="shared" si="4"/>
        <v>0</v>
      </c>
      <c r="S37" s="38">
        <f t="shared" si="5"/>
        <v>0</v>
      </c>
      <c r="T37" s="17">
        <f t="shared" si="6"/>
        <v>4.6423205479452001E-2</v>
      </c>
      <c r="U37" s="19">
        <f>[2]solution!L18</f>
        <v>4.6423205479452001E-2</v>
      </c>
      <c r="V37" s="17">
        <f t="shared" si="7"/>
        <v>6.7497576784692606E-2</v>
      </c>
      <c r="W37" s="38">
        <f t="shared" si="8"/>
        <v>2.1074371305240605E-2</v>
      </c>
      <c r="X37" s="19">
        <f>[2]solution!M18</f>
        <v>0</v>
      </c>
      <c r="Y37" s="19">
        <f>[2]solution!N18</f>
        <v>0</v>
      </c>
      <c r="Z37">
        <f>H37+E37+$B$21*AN37-G37-F37-$B$22*AL37+Y37-X37</f>
        <v>-5.9685589803848416E-13</v>
      </c>
      <c r="AA37">
        <f>L37+I37+$B$32*AN37-K37-J37-$B$33*AM37-Y37+X37</f>
        <v>-9.0949470177292824E-13</v>
      </c>
      <c r="AB37">
        <f>F37*AI37-(AI37+AO37)*E37</f>
        <v>-7.5432799476566323</v>
      </c>
      <c r="AC37">
        <f>J37*AI37-(AI37+AO37)*I37</f>
        <v>-8.0138505020496567</v>
      </c>
      <c r="AD37" s="4">
        <f t="shared" si="9"/>
        <v>0</v>
      </c>
      <c r="AE37" s="4">
        <f t="shared" si="10"/>
        <v>0</v>
      </c>
      <c r="AF37" s="4">
        <f t="shared" si="11"/>
        <v>0</v>
      </c>
      <c r="AG37" s="4">
        <f t="shared" si="12"/>
        <v>14.785525421057475</v>
      </c>
      <c r="AH37">
        <f t="shared" si="13"/>
        <v>18.196269445319739</v>
      </c>
      <c r="AI37" s="8">
        <f>[1]data!C17</f>
        <v>4.6423205479452001E-2</v>
      </c>
      <c r="AJ37" s="8">
        <f>[1]data!C41</f>
        <v>338.05515300000002</v>
      </c>
      <c r="AK37" s="8">
        <f>[1]data!C65</f>
        <v>379.49779999999998</v>
      </c>
      <c r="AL37" s="8">
        <f>[1]data!C89</f>
        <v>0.94729020616541304</v>
      </c>
      <c r="AM37" s="8">
        <f>[1]data!C113</f>
        <v>0.86189016628227</v>
      </c>
      <c r="AN37" s="8">
        <f>[1]data!C131</f>
        <v>0.188570083333333</v>
      </c>
      <c r="AO37" s="8">
        <f>[1]data!C149</f>
        <v>2.1074371305240602E-2</v>
      </c>
      <c r="AP37" s="24" t="s">
        <v>67</v>
      </c>
    </row>
    <row r="38" spans="1:44" ht="19" x14ac:dyDescent="0.2">
      <c r="A38" s="9" t="s">
        <v>23</v>
      </c>
      <c r="B38">
        <f>[1]R_c2!$A$1</f>
        <v>0.3</v>
      </c>
      <c r="D38" s="4">
        <v>18</v>
      </c>
      <c r="E38" s="19">
        <f>[2]solution!B19</f>
        <v>124.92077108333299</v>
      </c>
      <c r="F38" s="19">
        <f>[2]solution!C19</f>
        <v>0</v>
      </c>
      <c r="G38" s="19">
        <f>[2]solution!D19</f>
        <v>0</v>
      </c>
      <c r="H38" s="19">
        <f>[2]solution!E19</f>
        <v>0</v>
      </c>
      <c r="I38" s="19">
        <f>[2]solution!F19</f>
        <v>184.67295710820801</v>
      </c>
      <c r="J38" s="19">
        <f>[2]solution!G19</f>
        <v>0</v>
      </c>
      <c r="K38" s="19">
        <f>[2]solution!H19</f>
        <v>0</v>
      </c>
      <c r="L38" s="19">
        <f>[2]solution!I19</f>
        <v>0</v>
      </c>
      <c r="M38" s="19">
        <f>[2]solution!J19</f>
        <v>1900</v>
      </c>
      <c r="N38" s="19">
        <f>[2]solution!K19</f>
        <v>2660</v>
      </c>
      <c r="O38" s="15">
        <f t="shared" si="14"/>
        <v>1899.9999999999986</v>
      </c>
      <c r="P38" s="17">
        <f t="shared" si="3"/>
        <v>0</v>
      </c>
      <c r="Q38" s="17">
        <f t="shared" si="15"/>
        <v>2659.9999999999982</v>
      </c>
      <c r="R38" s="17">
        <f t="shared" si="4"/>
        <v>0</v>
      </c>
      <c r="S38" s="38">
        <f t="shared" si="5"/>
        <v>0</v>
      </c>
      <c r="T38" s="17">
        <f t="shared" si="6"/>
        <v>5.9484767123287999E-2</v>
      </c>
      <c r="U38" s="19">
        <f>[2]solution!L19</f>
        <v>5.9484767123287999E-2</v>
      </c>
      <c r="V38" s="17">
        <f t="shared" si="7"/>
        <v>8.0559138428528604E-2</v>
      </c>
      <c r="W38" s="38">
        <f t="shared" si="8"/>
        <v>2.1074371305240605E-2</v>
      </c>
      <c r="X38" s="19">
        <f>[2]solution!M19</f>
        <v>0</v>
      </c>
      <c r="Y38" s="19">
        <f>[2]solution!N19</f>
        <v>0</v>
      </c>
      <c r="Z38">
        <f>H38+E38+$B$21*AN38-G38-F38-$B$22*AL38+Y38-X38</f>
        <v>-4.2632564145606011E-13</v>
      </c>
      <c r="AA38">
        <f>L38+I38+$B$32*AN38-K38-J38-$B$33*AM38-Y38+X38</f>
        <v>-5.4001247917767614E-13</v>
      </c>
      <c r="AB38">
        <f>F38*AI38-(AI38+AO38)*E38</f>
        <v>-10.063509690300755</v>
      </c>
      <c r="AC38">
        <f>J38*AI38-(AI38+AO38)*I38</f>
        <v>-14.877094315685854</v>
      </c>
      <c r="AD38" s="4">
        <f t="shared" si="9"/>
        <v>0</v>
      </c>
      <c r="AE38" s="4">
        <f t="shared" si="10"/>
        <v>0</v>
      </c>
      <c r="AF38" s="4">
        <f t="shared" si="11"/>
        <v>0</v>
      </c>
      <c r="AG38" s="4">
        <f t="shared" si="12"/>
        <v>12.058091839982152</v>
      </c>
      <c r="AH38">
        <f t="shared" si="13"/>
        <v>17.681427742302926</v>
      </c>
      <c r="AI38" s="8">
        <f>[1]data!C18</f>
        <v>5.9484767123287999E-2</v>
      </c>
      <c r="AJ38" s="8">
        <f>[1]data!C42</f>
        <v>338.05515300000002</v>
      </c>
      <c r="AK38" s="8">
        <f>[1]data!C66</f>
        <v>379.49779999999998</v>
      </c>
      <c r="AL38" s="8">
        <f>[1]data!C90</f>
        <v>0.64728902137480604</v>
      </c>
      <c r="AM38" s="8">
        <f>[1]data!C114</f>
        <v>0.70171420130249096</v>
      </c>
      <c r="AN38" s="8">
        <f>[1]data!C132</f>
        <v>4.3513583333333002E-2</v>
      </c>
      <c r="AO38" s="8">
        <f>[1]data!C150</f>
        <v>2.1074371305240602E-2</v>
      </c>
      <c r="AP38" s="24" t="s">
        <v>67</v>
      </c>
    </row>
    <row r="39" spans="1:44" ht="19" x14ac:dyDescent="0.2">
      <c r="A39" s="9" t="s">
        <v>24</v>
      </c>
      <c r="B39">
        <f>[1]R_d2!$A$1</f>
        <v>0.3</v>
      </c>
      <c r="D39" s="4">
        <v>19</v>
      </c>
      <c r="E39" s="19">
        <f>[2]solution!B20</f>
        <v>0</v>
      </c>
      <c r="F39" s="19">
        <f>[2]solution!C20</f>
        <v>0</v>
      </c>
      <c r="G39" s="19">
        <f>[2]solution!D20</f>
        <v>0</v>
      </c>
      <c r="H39" s="19">
        <f>[2]solution!E20</f>
        <v>198.91109019525601</v>
      </c>
      <c r="I39" s="19">
        <f>[2]solution!F20</f>
        <v>0</v>
      </c>
      <c r="J39" s="19">
        <f>[2]solution!G20</f>
        <v>0</v>
      </c>
      <c r="K39" s="19">
        <f>[2]solution!H20</f>
        <v>0</v>
      </c>
      <c r="L39" s="19">
        <f>[2]solution!I20</f>
        <v>56.1699098869883</v>
      </c>
      <c r="M39" s="19">
        <f>[2]solution!J20</f>
        <v>1694.9370204172601</v>
      </c>
      <c r="N39" s="19">
        <f>[2]solution!K20</f>
        <v>2600.8737790663199</v>
      </c>
      <c r="O39" s="15">
        <f t="shared" si="14"/>
        <v>1694.9370204172606</v>
      </c>
      <c r="P39" s="17">
        <f t="shared" si="3"/>
        <v>0</v>
      </c>
      <c r="Q39" s="17">
        <f t="shared" si="15"/>
        <v>2600.8737790663263</v>
      </c>
      <c r="R39" s="17">
        <f t="shared" si="4"/>
        <v>6.3664629124104977E-12</v>
      </c>
      <c r="S39" s="38">
        <f t="shared" si="5"/>
        <v>0</v>
      </c>
      <c r="T39" s="17">
        <f t="shared" si="6"/>
        <v>7.6155178082191993E-2</v>
      </c>
      <c r="U39" s="19">
        <f>[2]solution!L20</f>
        <v>7.6155178082191993E-2</v>
      </c>
      <c r="V39" s="17">
        <f t="shared" si="7"/>
        <v>0.14818966352840399</v>
      </c>
      <c r="W39" s="38">
        <f t="shared" si="8"/>
        <v>7.2034485446211993E-2</v>
      </c>
      <c r="X39" s="19">
        <f>[2]solution!M20</f>
        <v>53.698761428133501</v>
      </c>
      <c r="Y39" s="19">
        <f>[2]solution!N20</f>
        <v>0</v>
      </c>
      <c r="Z39">
        <f>H39+E39+$B$21*AN39-G39-F39-$B$22*AL39+Y39-X39</f>
        <v>-3.907985046680551E-13</v>
      </c>
      <c r="AA39">
        <f>L39+I39+$B$32*AN39-K39-J39-$B$33*AM39-Y39+X39</f>
        <v>-8.5265128291212022E-14</v>
      </c>
      <c r="AB39">
        <f>F39*AI39-(AI39+AO39)*E39</f>
        <v>0</v>
      </c>
      <c r="AC39">
        <f>J39*AI39-(AI39+AO39)*I39</f>
        <v>0</v>
      </c>
      <c r="AD39" s="4">
        <f t="shared" si="9"/>
        <v>4.0223152875674826</v>
      </c>
      <c r="AE39" s="4">
        <f t="shared" si="10"/>
        <v>-4.2908090947081501</v>
      </c>
      <c r="AF39" s="4">
        <f t="shared" si="11"/>
        <v>0.26849380714066751</v>
      </c>
      <c r="AG39" s="4">
        <f t="shared" si="12"/>
        <v>21.51896614017592</v>
      </c>
      <c r="AH39">
        <f t="shared" si="13"/>
        <v>16.281401434500722</v>
      </c>
      <c r="AI39" s="8">
        <f>[1]data!C19</f>
        <v>7.6155178082191993E-2</v>
      </c>
      <c r="AJ39" s="8">
        <f>[1]data!C43</f>
        <v>504.43</v>
      </c>
      <c r="AK39" s="8">
        <f>[1]data!C67</f>
        <v>408.15429999999998</v>
      </c>
      <c r="AL39" s="8">
        <f>[1]data!C91</f>
        <v>0.62796864096223703</v>
      </c>
      <c r="AM39" s="8">
        <f>[1]data!C115</f>
        <v>0.35126236464303001</v>
      </c>
      <c r="AO39" s="8">
        <f>[1]data!C151</f>
        <v>7.2034485446211993E-2</v>
      </c>
      <c r="AP39" s="27" t="s">
        <v>70</v>
      </c>
      <c r="AQ39">
        <f>kappaP1*AJ39</f>
        <v>14523.482984099999</v>
      </c>
      <c r="AR39">
        <f>kappaP1*AK39</f>
        <v>11751.525545540999</v>
      </c>
    </row>
    <row r="40" spans="1:44" ht="19" x14ac:dyDescent="0.2">
      <c r="A40" s="9" t="s">
        <v>25</v>
      </c>
      <c r="B40">
        <f>[1]DoD2!$A$1</f>
        <v>0.9</v>
      </c>
      <c r="D40" s="4">
        <v>20</v>
      </c>
      <c r="E40" s="19">
        <f>[2]solution!B21</f>
        <v>0</v>
      </c>
      <c r="F40" s="19">
        <f>[2]solution!C21</f>
        <v>247.53432876712199</v>
      </c>
      <c r="G40" s="19">
        <f>[2]solution!D21</f>
        <v>0</v>
      </c>
      <c r="H40" s="19">
        <f>[2]solution!E21</f>
        <v>400</v>
      </c>
      <c r="I40" s="19">
        <f>[2]solution!F21</f>
        <v>0</v>
      </c>
      <c r="J40" s="19">
        <f>[2]solution!G21</f>
        <v>650</v>
      </c>
      <c r="K40" s="19">
        <f>[2]solution!H21</f>
        <v>0</v>
      </c>
      <c r="L40" s="19">
        <f>[2]solution!I21</f>
        <v>755.98331705325904</v>
      </c>
      <c r="M40" s="19">
        <f>[2]solution!J21</f>
        <v>1282.5658863966401</v>
      </c>
      <c r="N40" s="19">
        <f>[2]solution!K21</f>
        <v>1805.1018663786799</v>
      </c>
      <c r="O40" s="15">
        <f t="shared" si="14"/>
        <v>1282.5658863966419</v>
      </c>
      <c r="P40" s="17">
        <f t="shared" si="3"/>
        <v>1.8189894035458565E-12</v>
      </c>
      <c r="Q40" s="17">
        <f t="shared" si="15"/>
        <v>1805.1018663786851</v>
      </c>
      <c r="R40" s="17">
        <f t="shared" si="4"/>
        <v>5.2295945351943374E-12</v>
      </c>
      <c r="S40" s="38">
        <f t="shared" si="5"/>
        <v>0</v>
      </c>
      <c r="T40" s="17">
        <f t="shared" si="6"/>
        <v>9.0286438356163998E-2</v>
      </c>
      <c r="U40" s="19">
        <f>[2]solution!L21</f>
        <v>9.0286438356163998E-2</v>
      </c>
      <c r="V40" s="17">
        <f t="shared" si="7"/>
        <v>0.141504682517958</v>
      </c>
      <c r="W40" s="38">
        <f t="shared" si="8"/>
        <v>5.1218244161794005E-2</v>
      </c>
      <c r="X40" s="19">
        <f>[2]solution!M21</f>
        <v>0</v>
      </c>
      <c r="Y40" s="19">
        <f>[2]solution!N21</f>
        <v>0</v>
      </c>
      <c r="Z40">
        <f>H40+E40+$B$21*AN40-G40-F40-$B$22*AL40+Y40-X40</f>
        <v>9.3791641120333225E-13</v>
      </c>
      <c r="AA40">
        <f>L40+I40+$B$32*AN40-K40-J40-$B$33*AM40-Y40+X40</f>
        <v>-9.9475983006414026E-14</v>
      </c>
      <c r="AB40">
        <f>F40*AI40-(AI40+AO40)*E40</f>
        <v>22.348992915267193</v>
      </c>
      <c r="AC40">
        <f>J40*AI40-(AI40+AO40)*I40</f>
        <v>58.686184931506595</v>
      </c>
      <c r="AD40" s="4">
        <f t="shared" si="9"/>
        <v>0</v>
      </c>
      <c r="AE40" s="4">
        <f t="shared" si="10"/>
        <v>0</v>
      </c>
      <c r="AF40" s="4">
        <f t="shared" si="11"/>
        <v>0</v>
      </c>
      <c r="AG40" s="4">
        <f t="shared" si="12"/>
        <v>21.574606402695633</v>
      </c>
      <c r="AH40">
        <f t="shared" si="13"/>
        <v>14.99713563182152</v>
      </c>
      <c r="AI40" s="8">
        <f>[1]data!C20</f>
        <v>9.0286438356163998E-2</v>
      </c>
      <c r="AJ40" s="8">
        <f>[1]data!C44</f>
        <v>453.96686699999998</v>
      </c>
      <c r="AK40" s="8">
        <f>[1]data!C68</f>
        <v>437.71230000000003</v>
      </c>
      <c r="AL40" s="8">
        <f>[1]data!C92</f>
        <v>0.65933561681976205</v>
      </c>
      <c r="AM40" s="8">
        <f>[1]data!C116</f>
        <v>0.33884045483779202</v>
      </c>
      <c r="AN40" s="8"/>
      <c r="AO40" s="8">
        <f>[1]data!C152</f>
        <v>5.1218244161793998E-2</v>
      </c>
      <c r="AP40" s="28" t="s">
        <v>71</v>
      </c>
      <c r="AQ40">
        <f>kappaP2*AJ40</f>
        <v>6844.7489925538803</v>
      </c>
      <c r="AR40">
        <f>kappaP2*AK40</f>
        <v>6599.6684829720007</v>
      </c>
    </row>
    <row r="41" spans="1:44" ht="19" x14ac:dyDescent="0.2">
      <c r="A41" s="9" t="s">
        <v>26</v>
      </c>
      <c r="B41">
        <f>[1]Pmax2!$A$1</f>
        <v>650</v>
      </c>
      <c r="D41" s="4">
        <v>21</v>
      </c>
      <c r="E41" s="19">
        <f>[2]solution!B22</f>
        <v>0</v>
      </c>
      <c r="F41" s="19">
        <f>[2]solution!C22</f>
        <v>356.217587564685</v>
      </c>
      <c r="G41" s="19">
        <f>[2]solution!D22</f>
        <v>0</v>
      </c>
      <c r="H41" s="19">
        <f>[2]solution!E22</f>
        <v>400</v>
      </c>
      <c r="I41" s="19">
        <f>[2]solution!F22</f>
        <v>0</v>
      </c>
      <c r="J41" s="19">
        <f>[2]solution!G22</f>
        <v>650</v>
      </c>
      <c r="K41" s="19">
        <f>[2]solution!H22</f>
        <v>0</v>
      </c>
      <c r="L41" s="19">
        <f>[2]solution!I22</f>
        <v>840</v>
      </c>
      <c r="M41" s="19">
        <f>[2]solution!J22</f>
        <v>870.19475237602398</v>
      </c>
      <c r="N41" s="19">
        <f>[2]solution!K22</f>
        <v>920.89134006289703</v>
      </c>
      <c r="O41" s="15">
        <f t="shared" si="14"/>
        <v>870.1947523760233</v>
      </c>
      <c r="P41" s="17">
        <f t="shared" si="3"/>
        <v>0</v>
      </c>
      <c r="Q41" s="17">
        <f t="shared" si="15"/>
        <v>920.89134006289567</v>
      </c>
      <c r="R41" s="17">
        <f t="shared" si="4"/>
        <v>-1.3642420526593924E-12</v>
      </c>
      <c r="S41" s="38">
        <f t="shared" si="5"/>
        <v>1.2637816618549999E-2</v>
      </c>
      <c r="T41" s="17">
        <f t="shared" si="6"/>
        <v>9.9023506849315004E-2</v>
      </c>
      <c r="U41" s="19">
        <f>[2]solution!L22</f>
        <v>0.111661323467865</v>
      </c>
      <c r="V41" s="17">
        <f t="shared" si="7"/>
        <v>0.15024175101110901</v>
      </c>
      <c r="W41" s="38">
        <f t="shared" si="8"/>
        <v>3.8580427543244006E-2</v>
      </c>
      <c r="X41" s="19">
        <f>[2]solution!M22</f>
        <v>0</v>
      </c>
      <c r="Y41" s="19">
        <f>[2]solution!N22</f>
        <v>90.705258797562394</v>
      </c>
      <c r="Z41">
        <f>H41+E41+$B$21*AN41-G41-F41-$B$22*AL41+Y41-X41</f>
        <v>3.5527136788005009E-13</v>
      </c>
      <c r="AA41">
        <f>L41+I41+$B$32*AN41-K41-J41-$B$33*AM41-Y41+X41</f>
        <v>8.5265128291212022E-14</v>
      </c>
      <c r="AB41">
        <f>F41*AI41-(AI41+AO41)*E41</f>
        <v>35.273914722058052</v>
      </c>
      <c r="AC41">
        <f>J41*AI41-(AI41+AO41)*I41</f>
        <v>64.36527945205475</v>
      </c>
      <c r="AD41" s="4">
        <f t="shared" si="9"/>
        <v>-10.468413963321881</v>
      </c>
      <c r="AE41" s="4">
        <f t="shared" si="10"/>
        <v>10.014887669334069</v>
      </c>
      <c r="AF41" s="4">
        <f t="shared" si="11"/>
        <v>0.45352629398781197</v>
      </c>
      <c r="AG41" s="4">
        <f t="shared" si="12"/>
        <v>20.205663215433798</v>
      </c>
      <c r="AH41">
        <f t="shared" si="13"/>
        <v>14.918215784449124</v>
      </c>
      <c r="AI41" s="8">
        <f>[1]data!C21</f>
        <v>9.9023506849315004E-2</v>
      </c>
      <c r="AJ41" s="8">
        <f>[1]data!C45</f>
        <v>453.96686699999998</v>
      </c>
      <c r="AK41" s="8">
        <f>[1]data!C69</f>
        <v>437.71230000000003</v>
      </c>
      <c r="AL41" s="8">
        <f>[1]data!C93</f>
        <v>0.58159001268910804</v>
      </c>
      <c r="AM41" s="8">
        <f>[1]data!C117</f>
        <v>0.31745633376550503</v>
      </c>
      <c r="AN41" s="8"/>
      <c r="AO41" s="8">
        <f>[1]data!C153</f>
        <v>5.1218244161793998E-2</v>
      </c>
      <c r="AP41" s="28" t="s">
        <v>71</v>
      </c>
    </row>
    <row r="42" spans="1:44" ht="19" x14ac:dyDescent="0.2">
      <c r="A42" s="9" t="s">
        <v>27</v>
      </c>
      <c r="B42" s="30">
        <f>[1]Capacity02!$A$1</f>
        <v>-33786.68</v>
      </c>
      <c r="D42" s="4">
        <v>22</v>
      </c>
      <c r="E42" s="19">
        <f>[2]solution!B23</f>
        <v>0</v>
      </c>
      <c r="F42" s="19">
        <f>[2]solution!C23</f>
        <v>358.557397260274</v>
      </c>
      <c r="G42" s="19">
        <f>[2]solution!D23</f>
        <v>0</v>
      </c>
      <c r="H42" s="19">
        <f>[2]solution!E23</f>
        <v>400</v>
      </c>
      <c r="I42" s="19">
        <f>[2]solution!F23</f>
        <v>0</v>
      </c>
      <c r="J42" s="19">
        <f>[2]solution!G23</f>
        <v>650</v>
      </c>
      <c r="K42" s="19">
        <f>[2]solution!H23</f>
        <v>0</v>
      </c>
      <c r="L42" s="19">
        <f>[2]solution!I23</f>
        <v>741.84677305975197</v>
      </c>
      <c r="M42" s="19">
        <f>[2]solution!J23</f>
        <v>457.82361835540502</v>
      </c>
      <c r="N42" s="19">
        <f>[2]solution!K23</f>
        <v>140</v>
      </c>
      <c r="O42" s="15">
        <f t="shared" si="14"/>
        <v>457.82361835540473</v>
      </c>
      <c r="P42" s="17">
        <f t="shared" si="3"/>
        <v>0</v>
      </c>
      <c r="Q42" s="17">
        <f t="shared" si="15"/>
        <v>139.99999999999886</v>
      </c>
      <c r="R42" s="17">
        <f t="shared" si="4"/>
        <v>-1.1368683772161603E-12</v>
      </c>
      <c r="S42" s="38">
        <f t="shared" si="5"/>
        <v>0</v>
      </c>
      <c r="T42" s="17">
        <f t="shared" si="6"/>
        <v>9.0372109589041003E-2</v>
      </c>
      <c r="U42" s="19">
        <f>[2]solution!L23</f>
        <v>9.0372109589041003E-2</v>
      </c>
      <c r="V42" s="17">
        <f t="shared" si="7"/>
        <v>0.14159035375083501</v>
      </c>
      <c r="W42" s="38">
        <f t="shared" si="8"/>
        <v>5.1218244161794005E-2</v>
      </c>
      <c r="X42" s="19">
        <f>[2]solution!M23</f>
        <v>0</v>
      </c>
      <c r="Y42" s="19">
        <f>[2]solution!N23</f>
        <v>0</v>
      </c>
      <c r="Z42">
        <f>H42+E42+$B$21*AN42-G42-F42-$B$22*AL42+Y42-X42</f>
        <v>-2.8421709430404007E-14</v>
      </c>
      <c r="AA42">
        <f>L42+I42+$B$32*AN42-K42-J42-$B$33*AM42-Y42+X42</f>
        <v>-4.9737991503207013E-13</v>
      </c>
      <c r="AB42">
        <f>F42*AI42-(AI42+AO42)*E42</f>
        <v>32.403588399166793</v>
      </c>
      <c r="AC42">
        <f>J42*AI42-(AI42+AO42)*I42</f>
        <v>58.741871232876655</v>
      </c>
      <c r="AD42" s="4">
        <f t="shared" si="9"/>
        <v>0</v>
      </c>
      <c r="AE42" s="4">
        <f t="shared" si="10"/>
        <v>0</v>
      </c>
      <c r="AF42" s="4">
        <f t="shared" si="11"/>
        <v>0</v>
      </c>
      <c r="AG42" s="4">
        <f t="shared" si="12"/>
        <v>5.8678727822731318</v>
      </c>
      <c r="AH42">
        <f t="shared" si="13"/>
        <v>13.004617088403014</v>
      </c>
      <c r="AI42" s="8">
        <f>[1]data!C22</f>
        <v>9.0372109589041003E-2</v>
      </c>
      <c r="AJ42" s="8">
        <f>[1]data!C46</f>
        <v>453.96686699999998</v>
      </c>
      <c r="AK42" s="8">
        <f>[1]data!C70</f>
        <v>437.71230000000003</v>
      </c>
      <c r="AL42" s="8">
        <f>[1]data!C94</f>
        <v>0.17921794341677</v>
      </c>
      <c r="AM42" s="8">
        <f>[1]data!C118</f>
        <v>0.29364435105678699</v>
      </c>
      <c r="AN42" s="8"/>
      <c r="AO42" s="8">
        <f>[1]data!C154</f>
        <v>5.1218244161793998E-2</v>
      </c>
      <c r="AP42" s="28" t="s">
        <v>71</v>
      </c>
    </row>
    <row r="43" spans="1:44" ht="19" x14ac:dyDescent="0.2">
      <c r="A43" s="10"/>
      <c r="D43" s="4">
        <v>23</v>
      </c>
      <c r="E43" s="19">
        <f>[2]solution!B24</f>
        <v>0</v>
      </c>
      <c r="F43" s="19">
        <f>[2]solution!C24</f>
        <v>91.9261946996494</v>
      </c>
      <c r="G43" s="19">
        <f>[2]solution!D24</f>
        <v>0</v>
      </c>
      <c r="H43" s="19">
        <f>[2]solution!E24</f>
        <v>211.37181346934699</v>
      </c>
      <c r="I43" s="19">
        <f>[2]solution!F24</f>
        <v>0</v>
      </c>
      <c r="J43" s="19">
        <f>[2]solution!G24</f>
        <v>0</v>
      </c>
      <c r="K43" s="19">
        <f>[2]solution!H24</f>
        <v>0</v>
      </c>
      <c r="L43" s="19">
        <f>[2]solution!I24</f>
        <v>0</v>
      </c>
      <c r="M43" s="19">
        <f>[2]solution!J24</f>
        <v>239.914532304532</v>
      </c>
      <c r="N43" s="19">
        <f>[2]solution!K24</f>
        <v>140</v>
      </c>
      <c r="O43" s="15">
        <f t="shared" si="14"/>
        <v>239.91453230453155</v>
      </c>
      <c r="P43" s="17">
        <f t="shared" si="3"/>
        <v>-4.5474735088646412E-13</v>
      </c>
      <c r="Q43" s="17">
        <f t="shared" si="15"/>
        <v>139.99999999999886</v>
      </c>
      <c r="R43" s="17">
        <f t="shared" si="4"/>
        <v>-1.1368683772161603E-12</v>
      </c>
      <c r="S43" s="38">
        <f t="shared" si="5"/>
        <v>0</v>
      </c>
      <c r="T43" s="17">
        <f t="shared" si="6"/>
        <v>8.1188794520548002E-2</v>
      </c>
      <c r="U43" s="19">
        <f>[2]solution!L24</f>
        <v>8.1188794520548002E-2</v>
      </c>
      <c r="V43" s="17">
        <f t="shared" si="7"/>
        <v>0.10226316582578861</v>
      </c>
      <c r="W43" s="38">
        <f t="shared" si="8"/>
        <v>2.1074371305240605E-2</v>
      </c>
      <c r="X43" s="19">
        <f>[2]solution!M24</f>
        <v>85.942659865588297</v>
      </c>
      <c r="Y43" s="19">
        <f>[2]solution!N24</f>
        <v>0</v>
      </c>
      <c r="Z43">
        <f>H43+E43+$B$21*AN43-G43-F43-$B$22*AL43+Y43-X43</f>
        <v>-1.9895196601282805E-13</v>
      </c>
      <c r="AA43">
        <f>L43+I43+$B$32*AN43-K43-J43-$B$33*AM43-Y43+X43</f>
        <v>0</v>
      </c>
      <c r="AB43">
        <f>F43*AI43-(AI43+AO43)*E43</f>
        <v>7.4633769325257244</v>
      </c>
      <c r="AC43">
        <f>J43*AI43-(AI43+AO43)*I43</f>
        <v>0</v>
      </c>
      <c r="AD43" s="4">
        <f t="shared" si="9"/>
        <v>6.8701526275446101</v>
      </c>
      <c r="AE43" s="4">
        <f t="shared" si="10"/>
        <v>-7.2998659268725525</v>
      </c>
      <c r="AF43" s="4">
        <f t="shared" si="11"/>
        <v>0.4297132993279415</v>
      </c>
      <c r="AG43" s="4">
        <f t="shared" si="12"/>
        <v>3.426118642065529</v>
      </c>
      <c r="AH43">
        <f t="shared" si="13"/>
        <v>8.7887684773440036</v>
      </c>
      <c r="AI43" s="8">
        <f>[1]data!C23</f>
        <v>8.1188794520548002E-2</v>
      </c>
      <c r="AJ43" s="8">
        <f>[1]data!C47</f>
        <v>338.05515300000002</v>
      </c>
      <c r="AK43" s="8">
        <f>[1]data!C71</f>
        <v>379.49779999999998</v>
      </c>
      <c r="AL43" s="8">
        <f>[1]data!C95</f>
        <v>0.14488306709113699</v>
      </c>
      <c r="AM43" s="8">
        <f>[1]data!C119</f>
        <v>0.27476824436615499</v>
      </c>
      <c r="AN43" s="8"/>
      <c r="AO43" s="8">
        <f>[1]data!C155</f>
        <v>2.1074371305240602E-2</v>
      </c>
      <c r="AP43" s="24" t="s">
        <v>67</v>
      </c>
    </row>
    <row r="44" spans="1:44" ht="19" x14ac:dyDescent="0.2">
      <c r="A44" s="9" t="s">
        <v>28</v>
      </c>
      <c r="B44" s="1">
        <f>[1]kappaP1!$A$1</f>
        <v>28.791869999999999</v>
      </c>
      <c r="D44" s="4">
        <v>24</v>
      </c>
      <c r="E44" s="19">
        <f>[2]solution!B25</f>
        <v>0</v>
      </c>
      <c r="F44" s="19">
        <f>[2]solution!C25</f>
        <v>0</v>
      </c>
      <c r="G44" s="19">
        <f>[2]solution!D25</f>
        <v>0</v>
      </c>
      <c r="H44" s="19">
        <f>[2]solution!E25</f>
        <v>135.71709633539601</v>
      </c>
      <c r="I44" s="19">
        <f>[2]solution!F25</f>
        <v>0</v>
      </c>
      <c r="J44" s="19">
        <f>[2]solution!G25</f>
        <v>0</v>
      </c>
      <c r="K44" s="19">
        <f>[2]solution!H25</f>
        <v>0</v>
      </c>
      <c r="L44" s="19">
        <f>[2]solution!I25</f>
        <v>0</v>
      </c>
      <c r="M44" s="19">
        <f>[2]solution!J25</f>
        <v>100</v>
      </c>
      <c r="N44" s="19">
        <f>[2]solution!K25</f>
        <v>140</v>
      </c>
      <c r="O44" s="15">
        <f t="shared" si="14"/>
        <v>99.999999999999574</v>
      </c>
      <c r="P44" s="17">
        <f t="shared" si="3"/>
        <v>-4.2632564145606011E-13</v>
      </c>
      <c r="Q44" s="17">
        <f t="shared" si="15"/>
        <v>139.99999999999886</v>
      </c>
      <c r="R44" s="17">
        <f t="shared" si="4"/>
        <v>-1.1368683772161603E-12</v>
      </c>
      <c r="S44" s="38">
        <f t="shared" si="5"/>
        <v>0</v>
      </c>
      <c r="T44" s="17">
        <f t="shared" si="6"/>
        <v>7.4767232876711998E-2</v>
      </c>
      <c r="U44" s="19">
        <f>[2]solution!L25</f>
        <v>7.4767232876711998E-2</v>
      </c>
      <c r="V44" s="17">
        <f t="shared" si="7"/>
        <v>9.5841604181952603E-2</v>
      </c>
      <c r="W44" s="38">
        <f t="shared" si="8"/>
        <v>2.1074371305240605E-2</v>
      </c>
      <c r="X44" s="19">
        <f>[2]solution!M25</f>
        <v>103.79630181484799</v>
      </c>
      <c r="Y44" s="19">
        <f>[2]solution!N25</f>
        <v>0</v>
      </c>
      <c r="Z44">
        <f>H44+E44+$B$21*AN44-G44-F44-$B$22*AL44+Y44-X44</f>
        <v>0</v>
      </c>
      <c r="AA44">
        <f>L44+I44+$B$32*AN44-K44-J44-$B$33*AM44-Y44+X44</f>
        <v>0</v>
      </c>
      <c r="AB44">
        <f>F44*AI44-(AI44+AO44)*E44</f>
        <v>0</v>
      </c>
      <c r="AC44">
        <f>J44*AI44-(AI44+AO44)*I44</f>
        <v>0</v>
      </c>
      <c r="AD44" s="4">
        <f t="shared" si="9"/>
        <v>7.6308168922636641</v>
      </c>
      <c r="AE44" s="4">
        <f t="shared" si="10"/>
        <v>-8.1497984013379039</v>
      </c>
      <c r="AF44" s="4">
        <f t="shared" si="11"/>
        <v>0.51898150907424001</v>
      </c>
      <c r="AG44" s="4">
        <f t="shared" si="12"/>
        <v>3.0593401536118003</v>
      </c>
      <c r="AH44">
        <f t="shared" si="13"/>
        <v>9.9480040740891589</v>
      </c>
      <c r="AI44" s="8">
        <f>[1]data!C24</f>
        <v>7.4767232876711998E-2</v>
      </c>
      <c r="AJ44" s="8">
        <f>[1]data!C48</f>
        <v>338.05515300000002</v>
      </c>
      <c r="AK44" s="8">
        <f>[1]data!C72</f>
        <v>379.49779999999998</v>
      </c>
      <c r="AL44" s="8">
        <f>[1]data!C96</f>
        <v>0.13804101982036199</v>
      </c>
      <c r="AM44" s="8">
        <f>[1]data!C120</f>
        <v>0.33184832382392698</v>
      </c>
      <c r="AN44" s="8"/>
      <c r="AO44" s="8">
        <f>[1]data!C156</f>
        <v>2.1074371305240602E-2</v>
      </c>
      <c r="AP44" s="24" t="s">
        <v>67</v>
      </c>
    </row>
    <row r="45" spans="1:44" ht="19" x14ac:dyDescent="0.2">
      <c r="A45" s="9" t="s">
        <v>29</v>
      </c>
      <c r="B45">
        <f>[1]kappaP2!$A$1</f>
        <v>15.077640000000001</v>
      </c>
      <c r="G45" s="8"/>
      <c r="H45" s="8"/>
      <c r="I45" s="8"/>
      <c r="J45" s="8"/>
      <c r="K45" s="8"/>
      <c r="L45" s="8"/>
      <c r="M45" s="8"/>
      <c r="N45" s="8"/>
      <c r="O45" s="8"/>
      <c r="AB45" s="8"/>
      <c r="AC45" s="8"/>
      <c r="AD45" s="8"/>
    </row>
    <row r="46" spans="1:44" ht="19" x14ac:dyDescent="0.2">
      <c r="A46" s="9" t="s">
        <v>30</v>
      </c>
      <c r="B46">
        <f>[1]kappaP3!$A$1</f>
        <v>6.5591699999999999</v>
      </c>
    </row>
    <row r="47" spans="1:44" ht="19" x14ac:dyDescent="0.2">
      <c r="A47" s="9" t="s">
        <v>31</v>
      </c>
      <c r="B47">
        <f>[1]kappaP4!$A$1</f>
        <v>5.1720899999999999</v>
      </c>
      <c r="G47" s="7"/>
    </row>
    <row r="48" spans="1:44" ht="19" x14ac:dyDescent="0.2">
      <c r="A48" s="9" t="s">
        <v>32</v>
      </c>
      <c r="B48">
        <f>[1]kappaP5!$A$1</f>
        <v>1.9328099999999999</v>
      </c>
      <c r="G48" s="7"/>
    </row>
    <row r="49" spans="1:7" ht="19" x14ac:dyDescent="0.2">
      <c r="A49" s="9" t="s">
        <v>33</v>
      </c>
      <c r="B49">
        <f>[1]kappaP6!$A$1</f>
        <v>0.91608999999999996</v>
      </c>
      <c r="G49" s="7"/>
    </row>
    <row r="50" spans="1:7" ht="19" x14ac:dyDescent="0.2">
      <c r="A50" s="9" t="s">
        <v>34</v>
      </c>
      <c r="B50">
        <f>[1]CAPEXpv!$A$1</f>
        <v>700</v>
      </c>
      <c r="G50" s="7"/>
    </row>
    <row r="51" spans="1:7" ht="19" x14ac:dyDescent="0.2">
      <c r="A51" s="9" t="s">
        <v>35</v>
      </c>
      <c r="B51">
        <f>[1]CAPEX_BESS!$A$1</f>
        <v>200</v>
      </c>
      <c r="G51" s="7"/>
    </row>
    <row r="52" spans="1:7" ht="19" x14ac:dyDescent="0.2">
      <c r="A52" s="9" t="s">
        <v>36</v>
      </c>
      <c r="B52">
        <f>[1]CAPEX_BESS_inverter!$A$1</f>
        <v>80</v>
      </c>
    </row>
    <row r="53" spans="1:7" ht="19" x14ac:dyDescent="0.2">
      <c r="A53" s="9" t="s">
        <v>37</v>
      </c>
      <c r="B53">
        <f>[1]crf!$A$1</f>
        <v>8.0242587190689996E-2</v>
      </c>
    </row>
    <row r="54" spans="1:7" ht="19" x14ac:dyDescent="0.2">
      <c r="A54" s="9" t="s">
        <v>38</v>
      </c>
      <c r="B54">
        <f>[1]varphib!$A$1</f>
        <v>3.7499999999999999E-3</v>
      </c>
    </row>
    <row r="55" spans="1:7" ht="19" x14ac:dyDescent="0.2">
      <c r="A55" s="9" t="s">
        <v>39</v>
      </c>
      <c r="B55">
        <f>[1]varphis!$A$1</f>
        <v>1.25E-3</v>
      </c>
    </row>
    <row r="56" spans="1:7" ht="19" x14ac:dyDescent="0.2">
      <c r="A56" s="9" t="s">
        <v>40</v>
      </c>
      <c r="B56">
        <f>[1]PmaxCDS!$A$1</f>
        <v>400</v>
      </c>
    </row>
    <row r="57" spans="1:7" ht="19" x14ac:dyDescent="0.2">
      <c r="A57" s="9" t="s">
        <v>41</v>
      </c>
    </row>
    <row r="58" spans="1:7" ht="19" x14ac:dyDescent="0.2">
      <c r="A58" s="9" t="s">
        <v>42</v>
      </c>
    </row>
    <row r="59" spans="1:7" x14ac:dyDescent="0.2">
      <c r="A59" s="4" t="s">
        <v>59</v>
      </c>
      <c r="B59" s="13">
        <f>B24*B27</f>
        <v>400</v>
      </c>
    </row>
    <row r="60" spans="1:7" x14ac:dyDescent="0.2">
      <c r="A60" s="4" t="s">
        <v>60</v>
      </c>
      <c r="B60" s="13">
        <f>B35*B38</f>
        <v>840</v>
      </c>
    </row>
    <row r="61" spans="1:7" x14ac:dyDescent="0.2">
      <c r="A61" s="4" t="s">
        <v>58</v>
      </c>
      <c r="B61" s="13">
        <f>B24*B51+B52*B59+B50*B21</f>
        <v>830300</v>
      </c>
    </row>
    <row r="62" spans="1:7" x14ac:dyDescent="0.2">
      <c r="A62" s="4" t="s">
        <v>61</v>
      </c>
      <c r="B62" s="13">
        <f>B35*B51+B52*B60+B32*B50</f>
        <v>1187200</v>
      </c>
    </row>
    <row r="63" spans="1:7" x14ac:dyDescent="0.2">
      <c r="A63" s="4" t="s">
        <v>72</v>
      </c>
      <c r="B63" s="4">
        <f>SUM(AQ21:AQ44)</f>
        <v>27482.335815723807</v>
      </c>
    </row>
    <row r="64" spans="1:7" x14ac:dyDescent="0.2">
      <c r="A64" s="4" t="s">
        <v>73</v>
      </c>
      <c r="B64" s="4">
        <f>SUM(AR21:AR44)</f>
        <v>25736.664265915999</v>
      </c>
    </row>
    <row r="65" spans="1:2" x14ac:dyDescent="0.2">
      <c r="A65" s="4" t="s">
        <v>55</v>
      </c>
      <c r="B65" s="12">
        <f>[1]delta!$A$2</f>
        <v>0</v>
      </c>
    </row>
    <row r="66" spans="1:2" x14ac:dyDescent="0.2">
      <c r="B66" s="4"/>
    </row>
    <row r="67" spans="1:2" x14ac:dyDescent="0.2">
      <c r="B67" s="4"/>
    </row>
  </sheetData>
  <mergeCells count="1">
    <mergeCell ref="Z20:AA20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ABAD-88FA-7C4C-A5BA-C39A178DABC1}">
  <dimension ref="A11:BO67"/>
  <sheetViews>
    <sheetView topLeftCell="L15" zoomScale="80" zoomScaleNormal="80" workbookViewId="0">
      <selection activeCell="U49" sqref="U49"/>
    </sheetView>
  </sheetViews>
  <sheetFormatPr baseColWidth="10" defaultRowHeight="16" x14ac:dyDescent="0.2"/>
  <cols>
    <col min="1" max="1" width="28.6640625" style="4" customWidth="1"/>
    <col min="2" max="2" width="19.5" customWidth="1"/>
    <col min="3" max="3" width="1.5" customWidth="1"/>
    <col min="4" max="4" width="3.1640625" style="4" customWidth="1"/>
    <col min="5" max="5" width="9" style="4" customWidth="1"/>
    <col min="6" max="11" width="8" style="4" customWidth="1"/>
    <col min="12" max="12" width="8.6640625" style="4" customWidth="1"/>
    <col min="13" max="20" width="7.83203125" style="4" customWidth="1"/>
    <col min="21" max="21" width="8" customWidth="1"/>
    <col min="22" max="22" width="9.83203125" customWidth="1"/>
    <col min="23" max="25" width="8" customWidth="1"/>
    <col min="26" max="26" width="9.83203125" customWidth="1"/>
    <col min="27" max="27" width="9.5" customWidth="1"/>
    <col min="28" max="28" width="11.1640625" customWidth="1"/>
    <col min="29" max="29" width="11.5" customWidth="1"/>
    <col min="30" max="31" width="13" style="4" customWidth="1"/>
    <col min="33" max="33" width="13.6640625" bestFit="1" customWidth="1"/>
    <col min="34" max="34" width="14" customWidth="1"/>
    <col min="35" max="41" width="23.1640625" style="4" customWidth="1"/>
    <col min="50" max="50" width="21" bestFit="1" customWidth="1"/>
    <col min="52" max="52" width="21" bestFit="1" customWidth="1"/>
    <col min="54" max="54" width="21" bestFit="1" customWidth="1"/>
    <col min="56" max="56" width="21" bestFit="1" customWidth="1"/>
    <col min="63" max="63" width="21" bestFit="1" customWidth="1"/>
  </cols>
  <sheetData>
    <row r="11" spans="4:33" ht="19" x14ac:dyDescent="0.2">
      <c r="AC11" s="9" t="s">
        <v>81</v>
      </c>
    </row>
    <row r="12" spans="4:33" x14ac:dyDescent="0.2">
      <c r="AC12" t="s">
        <v>82</v>
      </c>
      <c r="AD12" s="5">
        <f>AB19+AD19+AG19</f>
        <v>92785.901046398241</v>
      </c>
    </row>
    <row r="13" spans="4:33" ht="19" x14ac:dyDescent="0.2">
      <c r="N13" s="9"/>
      <c r="O13" s="9"/>
      <c r="P13" s="9"/>
      <c r="Q13" s="9"/>
      <c r="R13" s="9"/>
      <c r="S13" s="9"/>
      <c r="T13" s="9"/>
      <c r="AA13" s="9"/>
      <c r="AC13" t="s">
        <v>83</v>
      </c>
      <c r="AD13" s="5">
        <f>AC19+AE19+AH19</f>
        <v>132669.42276571746</v>
      </c>
    </row>
    <row r="14" spans="4:33" ht="19" x14ac:dyDescent="0.2">
      <c r="G14" s="9"/>
      <c r="Z14" s="9"/>
      <c r="AC14" t="s">
        <v>84</v>
      </c>
      <c r="AD14" s="5">
        <f>AD13+AD12</f>
        <v>225455.3238121157</v>
      </c>
      <c r="AE14" s="5">
        <f>[1]IndustryProfit!$A$2</f>
        <v>225455.3238121912</v>
      </c>
      <c r="AF14" s="11">
        <f>AE14-AD14</f>
        <v>7.5495336204767227E-8</v>
      </c>
    </row>
    <row r="15" spans="4:33" ht="19" x14ac:dyDescent="0.2">
      <c r="E15" s="4">
        <f>E19*365</f>
        <v>550369.2057823923</v>
      </c>
      <c r="H15" s="9"/>
      <c r="AC15" t="s">
        <v>85</v>
      </c>
      <c r="AD15" s="4">
        <f>AD14/B53-B61-B62</f>
        <v>792171.66819209652</v>
      </c>
      <c r="AE15" s="5">
        <f>[1]npv!$A$2</f>
        <v>792171.66819303716</v>
      </c>
      <c r="AF15" s="11">
        <f>AE15-AD15</f>
        <v>9.406358003616333E-7</v>
      </c>
    </row>
    <row r="16" spans="4:33" ht="19" x14ac:dyDescent="0.2">
      <c r="D16" s="21" t="s">
        <v>64</v>
      </c>
      <c r="E16" s="4">
        <f>B30</f>
        <v>600</v>
      </c>
      <c r="F16" s="4">
        <f>E16</f>
        <v>600</v>
      </c>
      <c r="G16" s="4">
        <f>B59</f>
        <v>400</v>
      </c>
      <c r="H16" s="4">
        <f>G16</f>
        <v>400</v>
      </c>
      <c r="I16" s="4">
        <f>B41</f>
        <v>650</v>
      </c>
      <c r="J16" s="4">
        <f>I16</f>
        <v>650</v>
      </c>
      <c r="K16" s="4">
        <f>B60</f>
        <v>840</v>
      </c>
      <c r="L16" s="4">
        <f>K16</f>
        <v>840</v>
      </c>
      <c r="X16">
        <f>B56</f>
        <v>400</v>
      </c>
      <c r="Y16">
        <f>X16</f>
        <v>400</v>
      </c>
      <c r="AB16" s="11"/>
      <c r="AC16" s="11"/>
      <c r="AG16" s="9"/>
    </row>
    <row r="17" spans="1:67" x14ac:dyDescent="0.2">
      <c r="D17" s="21" t="s">
        <v>63</v>
      </c>
      <c r="E17" s="20">
        <f>MAX(E21:E44)</f>
        <v>338.05515300000002</v>
      </c>
      <c r="F17" s="20">
        <f>MAX(F21:F44)</f>
        <v>358.55739726024592</v>
      </c>
      <c r="G17" s="20">
        <f>MAX(G21:G44)</f>
        <v>399.999999999848</v>
      </c>
      <c r="H17" s="20">
        <f>MAX(H21:H44)</f>
        <v>399.9999999999859</v>
      </c>
      <c r="I17" s="20">
        <f>MAX(I21:I44)</f>
        <v>561.32089999998379</v>
      </c>
      <c r="J17" s="20">
        <f>MAX(J21:J44)</f>
        <v>649.99999999998647</v>
      </c>
      <c r="K17" s="20">
        <f>MAX(K21:K44)</f>
        <v>738.00143675452591</v>
      </c>
      <c r="L17" s="20">
        <f>MAX(L21:L44)</f>
        <v>839.99999999998647</v>
      </c>
      <c r="M17" s="15"/>
      <c r="N17" s="15"/>
      <c r="O17" s="15"/>
      <c r="P17" s="15"/>
      <c r="Q17" s="15"/>
      <c r="R17" s="15"/>
      <c r="S17" s="15"/>
      <c r="T17" s="15"/>
      <c r="U17" s="16"/>
      <c r="V17" s="16"/>
      <c r="W17" s="16"/>
      <c r="X17" s="20">
        <f>MAX(X21:X44)</f>
        <v>103.79630181484811</v>
      </c>
      <c r="Y17" s="20">
        <f>MAX(Y21:Y44)</f>
        <v>90.705258797562465</v>
      </c>
      <c r="AB17" s="11">
        <f>AB18-AB19</f>
        <v>7.5775460572913289E-8</v>
      </c>
      <c r="AC17" s="11">
        <f>AC18-AC19</f>
        <v>0</v>
      </c>
      <c r="AD17" s="5">
        <f>AD18-AD19</f>
        <v>0</v>
      </c>
      <c r="AE17" s="5">
        <f>AE18-AE19</f>
        <v>0</v>
      </c>
      <c r="AF17" s="5">
        <f>AF18-AF19</f>
        <v>0</v>
      </c>
      <c r="AG17" s="5">
        <f t="shared" ref="AG17:AH17" si="0">AG18-AG19</f>
        <v>0</v>
      </c>
      <c r="AH17" s="5">
        <f t="shared" si="0"/>
        <v>0</v>
      </c>
    </row>
    <row r="18" spans="1:67" x14ac:dyDescent="0.2">
      <c r="E18" s="29">
        <f>[1]Wimport1!$A$2</f>
        <v>550369.20578143839</v>
      </c>
      <c r="P18" s="31">
        <f>SUM(P21:P44)</f>
        <v>3.2400748750660568E-12</v>
      </c>
      <c r="Q18" s="17"/>
      <c r="R18" s="31">
        <f>SUM(R21:R44)</f>
        <v>2.1000801098125521E-10</v>
      </c>
      <c r="S18" s="31"/>
      <c r="T18" s="31"/>
      <c r="U18" s="8"/>
      <c r="V18" s="8"/>
      <c r="W18" s="8"/>
      <c r="X18" s="8"/>
      <c r="Y18" s="8"/>
      <c r="Z18" s="31">
        <f>SUM(Z21:Z44)</f>
        <v>2.6132660480016057E-9</v>
      </c>
      <c r="AA18" s="31">
        <f>SUM(AA21:AA44)</f>
        <v>-1.7887913372760522E-12</v>
      </c>
      <c r="AB18" s="5">
        <f>[1]Benefit1!$A$2</f>
        <v>-27251.643101966081</v>
      </c>
      <c r="AC18" s="5">
        <f>[1]Benefit2!$A$2</f>
        <v>-50874.330521116673</v>
      </c>
      <c r="AD18" s="5">
        <f>[1]E1!$A$2</f>
        <v>5935.8951128889867</v>
      </c>
      <c r="AE18" s="5">
        <f>[1]E2!$A$2</f>
        <v>-6748.9913396176789</v>
      </c>
      <c r="AF18" s="6">
        <f>[1]APA!$A$2</f>
        <v>813.09622672869114</v>
      </c>
      <c r="AG18" s="6">
        <f>[1]IndustryProfitnoCDS_BESS_PV1!$A$2</f>
        <v>114101.64903555111</v>
      </c>
      <c r="AH18" s="6">
        <f>[1]IndustryProfitnoCDS_BESS_PV2!$A$2</f>
        <v>190292.74462645181</v>
      </c>
    </row>
    <row r="19" spans="1:67" x14ac:dyDescent="0.2">
      <c r="D19" s="4" t="s">
        <v>65</v>
      </c>
      <c r="E19" s="17">
        <f>SUM(E21:E44)</f>
        <v>1507.8608377599789</v>
      </c>
      <c r="F19" s="17">
        <f t="shared" ref="F19:Y19" si="1">SUM(F21:F44)</f>
        <v>1054.2355082891029</v>
      </c>
      <c r="G19" s="17">
        <f t="shared" si="1"/>
        <v>1935.4838709678811</v>
      </c>
      <c r="H19" s="17">
        <f t="shared" si="1"/>
        <v>1746.0000000001251</v>
      </c>
      <c r="I19" s="17">
        <f t="shared" si="1"/>
        <v>3488.3980165560106</v>
      </c>
      <c r="J19" s="17">
        <f t="shared" si="1"/>
        <v>1950.0000000002972</v>
      </c>
      <c r="K19" s="17">
        <f t="shared" si="1"/>
        <v>3071.6997451513371</v>
      </c>
      <c r="L19" s="17">
        <f t="shared" si="1"/>
        <v>2684.6655772622548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>
        <f t="shared" si="1"/>
        <v>354.82692023185734</v>
      </c>
      <c r="Y19" s="17">
        <f t="shared" si="1"/>
        <v>90.705258797562465</v>
      </c>
      <c r="Z19" s="16"/>
      <c r="AA19" s="16"/>
      <c r="AB19" s="17">
        <f>SUM(AB21:AB44)*365-B63</f>
        <v>-27251.643102041857</v>
      </c>
      <c r="AC19" s="17">
        <f>SUM(AC21:AC44)*365-B64</f>
        <v>-50874.330521116637</v>
      </c>
      <c r="AD19" s="17">
        <f>SUM(AD21:AD44)*365-D63</f>
        <v>5935.8951128889876</v>
      </c>
      <c r="AE19" s="17">
        <f>SUM(AE21:AE44)*365-D64</f>
        <v>-6748.9913396176798</v>
      </c>
      <c r="AF19">
        <f>365*SUM(AF21:AF44)+2*$B$65</f>
        <v>813.09622672869125</v>
      </c>
      <c r="AG19">
        <f>365*SUM(AG21:AG44)-B31</f>
        <v>114101.64903555112</v>
      </c>
      <c r="AH19">
        <f>365*SUM(AH21:AH44)-B42</f>
        <v>190292.74462645178</v>
      </c>
    </row>
    <row r="20" spans="1:67" x14ac:dyDescent="0.2">
      <c r="E20" s="15" t="s">
        <v>44</v>
      </c>
      <c r="F20" s="15" t="s">
        <v>46</v>
      </c>
      <c r="G20" s="15" t="s">
        <v>47</v>
      </c>
      <c r="H20" s="15" t="s">
        <v>48</v>
      </c>
      <c r="I20" s="15" t="s">
        <v>45</v>
      </c>
      <c r="J20" s="15" t="s">
        <v>49</v>
      </c>
      <c r="K20" s="15" t="s">
        <v>50</v>
      </c>
      <c r="L20" s="15" t="s">
        <v>51</v>
      </c>
      <c r="M20" s="15" t="s">
        <v>52</v>
      </c>
      <c r="N20" s="15" t="s">
        <v>53</v>
      </c>
      <c r="O20" s="15"/>
      <c r="P20" s="15"/>
      <c r="Q20" s="15"/>
      <c r="R20" s="15"/>
      <c r="S20" s="15"/>
      <c r="T20" s="15"/>
      <c r="U20" s="15" t="s">
        <v>54</v>
      </c>
      <c r="V20" s="15"/>
      <c r="W20" s="15"/>
      <c r="X20" s="15" t="s">
        <v>56</v>
      </c>
      <c r="Y20" s="15" t="s">
        <v>57</v>
      </c>
      <c r="Z20" s="18" t="s">
        <v>62</v>
      </c>
      <c r="AA20" s="18"/>
      <c r="AB20" s="15" t="s">
        <v>74</v>
      </c>
      <c r="AC20" s="15" t="s">
        <v>75</v>
      </c>
      <c r="AD20" s="15" t="s">
        <v>76</v>
      </c>
      <c r="AE20" s="15" t="s">
        <v>77</v>
      </c>
      <c r="AF20" s="15" t="s">
        <v>78</v>
      </c>
      <c r="AG20" s="15" t="s">
        <v>79</v>
      </c>
      <c r="AH20" s="15" t="s">
        <v>80</v>
      </c>
      <c r="AI20" s="4" t="s">
        <v>0</v>
      </c>
      <c r="AJ20" s="4" t="s">
        <v>1</v>
      </c>
      <c r="AK20" s="4" t="s">
        <v>2</v>
      </c>
      <c r="AL20" s="4" t="s">
        <v>3</v>
      </c>
      <c r="AM20" s="4" t="s">
        <v>4</v>
      </c>
      <c r="AN20" s="4" t="s">
        <v>5</v>
      </c>
      <c r="AO20" s="4" t="s">
        <v>6</v>
      </c>
    </row>
    <row r="21" spans="1:67" ht="19" x14ac:dyDescent="0.2">
      <c r="A21" s="9" t="s">
        <v>43</v>
      </c>
      <c r="B21">
        <f>[1]Ppvmax1!$A$1</f>
        <v>569</v>
      </c>
      <c r="D21" s="4">
        <v>1</v>
      </c>
      <c r="E21" s="19">
        <v>31.307452054793998</v>
      </c>
      <c r="F21" s="19">
        <f>[1]Ps1!B2</f>
        <v>0</v>
      </c>
      <c r="G21" s="19">
        <f>[1]Pc1!B2</f>
        <v>1.627604527662443E-10</v>
      </c>
      <c r="H21" s="19">
        <f>[1]Pd1!B2</f>
        <v>0</v>
      </c>
      <c r="I21" s="19">
        <f>[1]Pb2!B2</f>
        <v>165.79381979916459</v>
      </c>
      <c r="J21" s="19">
        <f>[1]Ps2!B2</f>
        <v>0</v>
      </c>
      <c r="K21" s="19">
        <f>[1]Pc2!B2</f>
        <v>7.014477887423709E-11</v>
      </c>
      <c r="L21" s="19">
        <f>[1]Pd2!B2</f>
        <v>0</v>
      </c>
      <c r="M21" s="19">
        <f>[1]SOC1!B2</f>
        <v>100.0000000001514</v>
      </c>
      <c r="N21" s="19">
        <f>[1]SOC2!B2</f>
        <v>140.00000000006449</v>
      </c>
      <c r="O21" s="15">
        <f>B23+G21*$B$25-H21/$B$26</f>
        <v>100.00000000015137</v>
      </c>
      <c r="P21" s="17">
        <f>O21-M21</f>
        <v>0</v>
      </c>
      <c r="Q21" s="17">
        <f>B34+K21*$B$36-L21/$B$37</f>
        <v>140.00000000006455</v>
      </c>
      <c r="R21" s="17">
        <f>Q21-N21</f>
        <v>0</v>
      </c>
      <c r="S21" s="38">
        <f>U21-T21</f>
        <v>0</v>
      </c>
      <c r="T21" s="17">
        <f>AI21</f>
        <v>6.8746794520547994E-2</v>
      </c>
      <c r="U21" s="19">
        <f>[1]epsilon!B2</f>
        <v>6.8746794520547994E-2</v>
      </c>
      <c r="V21" s="17">
        <f>T21+AO21</f>
        <v>9.1567299828598986E-2</v>
      </c>
      <c r="W21" s="38">
        <f>V21-U21</f>
        <v>2.2820505308050992E-2</v>
      </c>
      <c r="X21" s="19">
        <f>[1]P12CDS!B2</f>
        <v>0</v>
      </c>
      <c r="Y21" s="19">
        <f>[1]P21CDS!B2</f>
        <v>0</v>
      </c>
      <c r="Z21" s="16">
        <f>H21+E21+$B$21*AN21-G21-F21-$B$22*AL21+Y21-X21</f>
        <v>-1.6317258655362821E-10</v>
      </c>
      <c r="AA21" s="16">
        <f>L21+I21+$B$32*AN21-K21-J21-$B$33*AM21-Y21+X21</f>
        <v>-2.8421709430404007E-14</v>
      </c>
      <c r="AB21">
        <f>F21*AI21-(AI21+AO21)*E21</f>
        <v>-2.8667388491708095</v>
      </c>
      <c r="AC21">
        <f>J21*AI21-(AI21+AO21)*I21</f>
        <v>-15.181292407278816</v>
      </c>
      <c r="AD21" s="4">
        <f>(U21-$B$55)*X21-(U21+$B$54)*Y21</f>
        <v>0</v>
      </c>
      <c r="AE21" s="4">
        <f>(U21-$B$55)*Y21-(U21+$B$54)*X21</f>
        <v>0</v>
      </c>
      <c r="AF21" s="4">
        <f>($B$54+$B$55)*(X21+Y21)</f>
        <v>0</v>
      </c>
      <c r="AG21" s="4">
        <f>$B$22*AL21*(AI21+AO21)</f>
        <v>2.8667388491708472</v>
      </c>
      <c r="AH21">
        <f>$B$33*AM21*(AI21+AO21)</f>
        <v>15.181292407272394</v>
      </c>
      <c r="AI21" s="8">
        <f>[1]data!C1</f>
        <v>6.8746794520547994E-2</v>
      </c>
      <c r="AJ21" s="8">
        <f>[1]data!C25</f>
        <v>564.29999999999995</v>
      </c>
      <c r="AK21" s="8">
        <f>[1]data!C49</f>
        <v>553.88959999999997</v>
      </c>
      <c r="AL21" s="8">
        <f>[1]data!C73</f>
        <v>0.13538862909063701</v>
      </c>
      <c r="AM21" s="8">
        <f>[1]data!C97</f>
        <v>0.53006128579453204</v>
      </c>
      <c r="AN21" s="8"/>
      <c r="AO21" s="8">
        <f>[1]data!C133</f>
        <v>2.2820505308050999E-2</v>
      </c>
      <c r="AP21" s="22" t="s">
        <v>66</v>
      </c>
      <c r="AQ21">
        <f>kappaP6*AJ21</f>
        <v>516.94958699999995</v>
      </c>
      <c r="AR21">
        <f>kappaP6*AK21</f>
        <v>507.41272366399994</v>
      </c>
      <c r="AU21">
        <v>1</v>
      </c>
      <c r="AV21" t="s">
        <v>87</v>
      </c>
      <c r="AW21">
        <v>6.8746794520547994E-2</v>
      </c>
      <c r="AX21" s="3">
        <f>AW21-AI21</f>
        <v>0</v>
      </c>
      <c r="AY21">
        <v>0.13538862909063701</v>
      </c>
      <c r="AZ21" s="3">
        <f>AY21-AL21</f>
        <v>0</v>
      </c>
      <c r="BA21">
        <v>2.2820505308050999E-2</v>
      </c>
      <c r="BB21" s="3">
        <f>BA21-AO21</f>
        <v>0</v>
      </c>
      <c r="BC21">
        <v>0</v>
      </c>
      <c r="BD21" s="3">
        <f>BC21-AN21</f>
        <v>0</v>
      </c>
      <c r="BF21">
        <v>1</v>
      </c>
      <c r="BG21" t="s">
        <v>87</v>
      </c>
      <c r="BH21">
        <v>6.8746794520547994E-2</v>
      </c>
      <c r="BI21" t="s">
        <v>88</v>
      </c>
      <c r="BJ21">
        <v>0.53006128579453204</v>
      </c>
      <c r="BK21" s="3">
        <f>BJ21-AM21</f>
        <v>0</v>
      </c>
      <c r="BL21">
        <v>2.2820505308050999E-2</v>
      </c>
      <c r="BM21" t="s">
        <v>89</v>
      </c>
      <c r="BN21">
        <v>0</v>
      </c>
      <c r="BO21" t="s">
        <v>90</v>
      </c>
    </row>
    <row r="22" spans="1:67" ht="19" x14ac:dyDescent="0.2">
      <c r="A22" s="9" t="s">
        <v>7</v>
      </c>
      <c r="B22">
        <f>[1]Plmax1!$A$1</f>
        <v>231.241369863014</v>
      </c>
      <c r="D22" s="4">
        <v>2</v>
      </c>
      <c r="E22" s="19">
        <v>20.89895890411</v>
      </c>
      <c r="F22" s="19">
        <f>[1]Ps1!B3</f>
        <v>0</v>
      </c>
      <c r="G22" s="19">
        <f>[1]Pc1!B3</f>
        <v>0</v>
      </c>
      <c r="H22" s="19">
        <f>[1]Pd1!B3</f>
        <v>2.863035643049902E-11</v>
      </c>
      <c r="I22" s="19">
        <f>[1]Pb2!B3</f>
        <v>166.29425507124191</v>
      </c>
      <c r="J22" s="19">
        <f>[1]Ps2!B3</f>
        <v>0</v>
      </c>
      <c r="K22" s="19">
        <f>[1]Pc2!B3</f>
        <v>0</v>
      </c>
      <c r="L22" s="19">
        <f>[1]Pd2!B3</f>
        <v>1.6345405663876911E-11</v>
      </c>
      <c r="M22" s="19">
        <f>[1]SOC1!B3</f>
        <v>100.0000000001219</v>
      </c>
      <c r="N22" s="19">
        <f>[1]SOC2!B3</f>
        <v>140.00000000004741</v>
      </c>
      <c r="O22" s="15">
        <f>O21+G22*$B$25-H22/$B$26</f>
        <v>100.00000000012186</v>
      </c>
      <c r="P22" s="17">
        <f t="shared" ref="P22:P44" si="2">O22-M22</f>
        <v>0</v>
      </c>
      <c r="Q22" s="17">
        <f>Q21+K22*$B$36-L22/$B$37</f>
        <v>140.00000000004735</v>
      </c>
      <c r="R22" s="17">
        <f t="shared" ref="R22:R44" si="3">Q22-N22</f>
        <v>0</v>
      </c>
      <c r="S22" s="38">
        <f t="shared" ref="S22:S44" si="4">U22-T22</f>
        <v>0</v>
      </c>
      <c r="T22" s="17">
        <f t="shared" ref="T22:T44" si="5">AI22</f>
        <v>6.4382931506848998E-2</v>
      </c>
      <c r="U22" s="19">
        <f>[1]epsilon!B3</f>
        <v>6.4382931506848998E-2</v>
      </c>
      <c r="V22" s="17">
        <f t="shared" ref="V22:V44" si="6">T22+AO22</f>
        <v>8.7203436814900004E-2</v>
      </c>
      <c r="W22" s="38">
        <f t="shared" ref="W22:W44" si="7">V22-U22</f>
        <v>2.2820505308051006E-2</v>
      </c>
      <c r="X22" s="19">
        <f>[1]P12CDS!B3</f>
        <v>0</v>
      </c>
      <c r="Y22" s="19">
        <f>[1]P21CDS!B3</f>
        <v>0</v>
      </c>
      <c r="Z22" s="16">
        <f>H22+E22+$B$21*AN22-G22-F22-$B$22*AL22+Y22-X22</f>
        <v>2.8951063768545282E-11</v>
      </c>
      <c r="AA22" s="16">
        <f>L22+I22+$B$32*AN22-K22-J22-$B$33*AM22-Y22+X22</f>
        <v>-1.1368683772161603E-13</v>
      </c>
      <c r="AB22">
        <f>F22*AI22-(AI22+AO22)*E22</f>
        <v>-1.8224610422917482</v>
      </c>
      <c r="AC22">
        <f>J22*AI22-(AI22+AO22)*I22</f>
        <v>-14.501430564785908</v>
      </c>
      <c r="AD22" s="4">
        <f t="shared" ref="AD22:AD44" si="8">(U22-$B$55)*X22-(U22+$B$54)*Y22</f>
        <v>0</v>
      </c>
      <c r="AE22" s="4">
        <f t="shared" ref="AE22:AE44" si="9">(U22-$B$55)*Y22-(U22+$B$54)*X22</f>
        <v>0</v>
      </c>
      <c r="AF22" s="4">
        <f t="shared" ref="AF22:AF44" si="10">($B$54+$B$55)*(X22+Y22)</f>
        <v>0</v>
      </c>
      <c r="AG22" s="4">
        <f t="shared" ref="AG22:AG44" si="11">$B$22*AL22*(AI22+AO22)</f>
        <v>1.8224610422917202</v>
      </c>
      <c r="AH22">
        <f t="shared" ref="AH22:AH44" si="12">$B$33*AM22*(AI22+AO22)</f>
        <v>14.501430564787343</v>
      </c>
      <c r="AI22" s="8">
        <f>[1]data!C2</f>
        <v>6.4382931506848998E-2</v>
      </c>
      <c r="AJ22" s="8">
        <f>[1]data!C26</f>
        <v>564.29999999999995</v>
      </c>
      <c r="AK22" s="8">
        <f>[1]data!C50</f>
        <v>553.88959999999997</v>
      </c>
      <c r="AL22" s="8">
        <f>[1]data!C74</f>
        <v>9.0377249176867E-2</v>
      </c>
      <c r="AM22" s="8">
        <f>[1]data!C98</f>
        <v>0.53166123303105495</v>
      </c>
      <c r="AN22" s="8"/>
      <c r="AO22" s="8">
        <f>[1]data!C134</f>
        <v>2.2820505308050999E-2</v>
      </c>
      <c r="AP22" s="23" t="s">
        <v>66</v>
      </c>
      <c r="AU22">
        <v>2</v>
      </c>
      <c r="AV22" t="s">
        <v>87</v>
      </c>
      <c r="AW22">
        <v>6.4382931506848998E-2</v>
      </c>
      <c r="AX22" s="3">
        <f t="shared" ref="AX22:AX44" si="13">AW22-AI22</f>
        <v>0</v>
      </c>
      <c r="AY22">
        <v>9.0377249176867E-2</v>
      </c>
      <c r="AZ22" s="3">
        <f t="shared" ref="AZ22:AZ44" si="14">AY22-AL22</f>
        <v>0</v>
      </c>
      <c r="BA22">
        <v>2.2820505308050999E-2</v>
      </c>
      <c r="BB22" s="3">
        <f t="shared" ref="BB22:BB44" si="15">BA22-AO22</f>
        <v>0</v>
      </c>
      <c r="BC22">
        <v>0</v>
      </c>
      <c r="BD22" s="3">
        <f t="shared" ref="BD22:BD44" si="16">BC22-AN22</f>
        <v>0</v>
      </c>
      <c r="BF22">
        <v>2</v>
      </c>
      <c r="BG22" t="s">
        <v>87</v>
      </c>
      <c r="BH22">
        <v>6.4382931506848998E-2</v>
      </c>
      <c r="BI22" t="s">
        <v>88</v>
      </c>
      <c r="BJ22">
        <v>0.53166123303105495</v>
      </c>
      <c r="BK22" s="3">
        <f t="shared" ref="BK22:BK44" si="17">BJ22-AM22</f>
        <v>0</v>
      </c>
      <c r="BL22">
        <v>2.2820505308050999E-2</v>
      </c>
      <c r="BM22" t="s">
        <v>89</v>
      </c>
      <c r="BN22">
        <v>0</v>
      </c>
      <c r="BO22" t="s">
        <v>90</v>
      </c>
    </row>
    <row r="23" spans="1:67" ht="19" x14ac:dyDescent="0.2">
      <c r="A23" s="9" t="s">
        <v>8</v>
      </c>
      <c r="B23">
        <f>[1]SOC01!$A$1</f>
        <v>100</v>
      </c>
      <c r="D23" s="4">
        <v>3</v>
      </c>
      <c r="E23" s="19">
        <v>17.653808219178</v>
      </c>
      <c r="F23" s="19">
        <f>[1]Ps1!B4</f>
        <v>0</v>
      </c>
      <c r="G23" s="19">
        <f>[1]Pc1!B4</f>
        <v>0</v>
      </c>
      <c r="H23" s="19">
        <f>[1]Pd1!B4</f>
        <v>2.1238036638582608E-11</v>
      </c>
      <c r="I23" s="19">
        <f>[1]Pb2!B4</f>
        <v>167.08083889699779</v>
      </c>
      <c r="J23" s="19">
        <f>[1]Ps2!B4</f>
        <v>0</v>
      </c>
      <c r="K23" s="19">
        <f>[1]Pc2!B4</f>
        <v>0</v>
      </c>
      <c r="L23" s="19">
        <f>[1]Pd2!B4</f>
        <v>1.4317361351191499E-11</v>
      </c>
      <c r="M23" s="19">
        <f>[1]SOC1!B4</f>
        <v>100.0000000001</v>
      </c>
      <c r="N23" s="19">
        <f>[1]SOC2!B4</f>
        <v>140.0000000000322</v>
      </c>
      <c r="O23" s="15">
        <f t="shared" ref="O23:O44" si="18">O22+G23*$B$25-H23/$B$26</f>
        <v>100.00000000009996</v>
      </c>
      <c r="P23" s="17">
        <f t="shared" si="2"/>
        <v>0</v>
      </c>
      <c r="Q23" s="17">
        <f t="shared" ref="Q23:Q44" si="19">Q22+K23*$B$36-L23/$B$37</f>
        <v>140.00000000003229</v>
      </c>
      <c r="R23" s="17">
        <f t="shared" si="3"/>
        <v>0</v>
      </c>
      <c r="S23" s="38">
        <f t="shared" si="4"/>
        <v>0</v>
      </c>
      <c r="T23" s="17">
        <f t="shared" si="5"/>
        <v>6.2238410958903999E-2</v>
      </c>
      <c r="U23" s="19">
        <f>[1]epsilon!B4</f>
        <v>6.2238410958903999E-2</v>
      </c>
      <c r="V23" s="17">
        <f t="shared" si="6"/>
        <v>8.5058916266954998E-2</v>
      </c>
      <c r="W23" s="38">
        <f t="shared" si="7"/>
        <v>2.2820505308050999E-2</v>
      </c>
      <c r="X23" s="19">
        <f>[1]P12CDS!B4</f>
        <v>0</v>
      </c>
      <c r="Y23" s="19">
        <f>[1]P21CDS!B4</f>
        <v>0</v>
      </c>
      <c r="Z23" s="16">
        <f>H23+E23+$B$21*AN23-G23-F23-$B$22*AL23+Y23-X23</f>
        <v>2.113509367518418E-11</v>
      </c>
      <c r="AA23" s="16">
        <f>L23+I23+$B$32*AN23-K23-J23-$B$33*AM23-Y23+X23</f>
        <v>-2.2737367544323206E-13</v>
      </c>
      <c r="AB23">
        <f>F23*AI23-(AI23+AO23)*E23</f>
        <v>-1.5016137951079433</v>
      </c>
      <c r="AC23">
        <f>J23*AI23-(AI23+AO23)*I23</f>
        <v>-14.211715085552333</v>
      </c>
      <c r="AD23" s="4">
        <f t="shared" si="8"/>
        <v>0</v>
      </c>
      <c r="AE23" s="4">
        <f t="shared" si="9"/>
        <v>0</v>
      </c>
      <c r="AF23" s="4">
        <f t="shared" si="10"/>
        <v>0</v>
      </c>
      <c r="AG23" s="4">
        <f t="shared" si="11"/>
        <v>1.5016137951079522</v>
      </c>
      <c r="AH23">
        <f t="shared" si="12"/>
        <v>14.211715085553571</v>
      </c>
      <c r="AI23" s="8">
        <f>[1]data!C3</f>
        <v>6.2238410958903999E-2</v>
      </c>
      <c r="AJ23" s="8">
        <f>[1]data!C27</f>
        <v>564.29999999999995</v>
      </c>
      <c r="AK23" s="8">
        <f>[1]data!C51</f>
        <v>553.88959999999997</v>
      </c>
      <c r="AL23" s="8">
        <f>[1]data!C75</f>
        <v>7.6343641406536003E-2</v>
      </c>
      <c r="AM23" s="8">
        <f>[1]data!C99</f>
        <v>0.53417602902628303</v>
      </c>
      <c r="AN23" s="8"/>
      <c r="AO23" s="8">
        <f>[1]data!C135</f>
        <v>2.2820505308050999E-2</v>
      </c>
      <c r="AP23" s="22" t="s">
        <v>66</v>
      </c>
      <c r="AU23">
        <v>3</v>
      </c>
      <c r="AV23" t="s">
        <v>87</v>
      </c>
      <c r="AW23">
        <v>6.2238410958903999E-2</v>
      </c>
      <c r="AX23" s="3">
        <f t="shared" si="13"/>
        <v>0</v>
      </c>
      <c r="AY23">
        <v>7.6343641406536003E-2</v>
      </c>
      <c r="AZ23" s="3">
        <f t="shared" si="14"/>
        <v>0</v>
      </c>
      <c r="BA23">
        <v>2.2820505308050999E-2</v>
      </c>
      <c r="BB23" s="3">
        <f t="shared" si="15"/>
        <v>0</v>
      </c>
      <c r="BC23">
        <v>0</v>
      </c>
      <c r="BD23" s="3">
        <f t="shared" si="16"/>
        <v>0</v>
      </c>
      <c r="BF23">
        <v>3</v>
      </c>
      <c r="BG23" t="s">
        <v>87</v>
      </c>
      <c r="BH23">
        <v>6.2238410958903999E-2</v>
      </c>
      <c r="BI23" t="s">
        <v>88</v>
      </c>
      <c r="BJ23">
        <v>0.53417602902628303</v>
      </c>
      <c r="BK23" s="3">
        <f t="shared" si="17"/>
        <v>0</v>
      </c>
      <c r="BL23">
        <v>2.2820505308050999E-2</v>
      </c>
      <c r="BM23" t="s">
        <v>89</v>
      </c>
      <c r="BN23">
        <v>0</v>
      </c>
      <c r="BO23" t="s">
        <v>90</v>
      </c>
    </row>
    <row r="24" spans="1:67" ht="19" x14ac:dyDescent="0.2">
      <c r="A24" s="9" t="s">
        <v>9</v>
      </c>
      <c r="B24">
        <f>[1]C1!$A$1</f>
        <v>2000</v>
      </c>
      <c r="D24" s="4">
        <v>4</v>
      </c>
      <c r="E24" s="19">
        <v>17.394958904109998</v>
      </c>
      <c r="F24" s="19">
        <f>[1]Ps1!B5</f>
        <v>0</v>
      </c>
      <c r="G24" s="19">
        <f>[1]Pc1!B5</f>
        <v>0</v>
      </c>
      <c r="H24" s="19">
        <f>[1]Pd1!B5</f>
        <v>1.765444164963199E-11</v>
      </c>
      <c r="I24" s="19">
        <f>[1]Pb2!B5</f>
        <v>505.6426698936437</v>
      </c>
      <c r="J24" s="19">
        <f>[1]Ps2!B5</f>
        <v>0</v>
      </c>
      <c r="K24" s="19">
        <f>[1]Pc2!B5</f>
        <v>332.56931036865888</v>
      </c>
      <c r="L24" s="19">
        <f>[1]Pd2!B5</f>
        <v>0</v>
      </c>
      <c r="M24" s="19">
        <f>[1]SOC1!B5</f>
        <v>100.0000000000818</v>
      </c>
      <c r="N24" s="19">
        <f>[1]SOC2!B5</f>
        <v>445.96376553919782</v>
      </c>
      <c r="O24" s="15">
        <f t="shared" si="18"/>
        <v>100.00000000008176</v>
      </c>
      <c r="P24" s="17">
        <f t="shared" si="2"/>
        <v>0</v>
      </c>
      <c r="Q24" s="17">
        <f t="shared" si="19"/>
        <v>445.96376553919845</v>
      </c>
      <c r="R24" s="17">
        <f t="shared" si="3"/>
        <v>6.2527760746888816E-13</v>
      </c>
      <c r="S24" s="38">
        <f t="shared" si="4"/>
        <v>0</v>
      </c>
      <c r="T24" s="17">
        <f t="shared" si="5"/>
        <v>6.0464136986301001E-2</v>
      </c>
      <c r="U24" s="19">
        <f>[1]epsilon!B5</f>
        <v>6.0464136986301001E-2</v>
      </c>
      <c r="V24" s="17">
        <f t="shared" si="6"/>
        <v>8.3284642294352007E-2</v>
      </c>
      <c r="W24" s="38">
        <f t="shared" si="7"/>
        <v>2.2820505308051006E-2</v>
      </c>
      <c r="X24" s="19">
        <f>[1]P12CDS!B5</f>
        <v>0</v>
      </c>
      <c r="Y24" s="19">
        <f>[1]P21CDS!B5</f>
        <v>0</v>
      </c>
      <c r="Z24" s="16">
        <f>H24+E24+$B$21*AN24-G24-F24-$B$22*AL24+Y24-X24</f>
        <v>1.7983836642088136E-11</v>
      </c>
      <c r="AA24" s="16">
        <f>L24+I24+$B$32*AN24-K24-J24-$B$33*AM24-Y24+X24</f>
        <v>3.979039320256561E-13</v>
      </c>
      <c r="AB24">
        <f>F24*AI24-(AI24+AO24)*E24</f>
        <v>-1.4487329300537546</v>
      </c>
      <c r="AC24">
        <f>J24*AI24-(AI24+AO24)*I24</f>
        <v>-42.11226889085323</v>
      </c>
      <c r="AD24" s="4">
        <f t="shared" si="8"/>
        <v>0</v>
      </c>
      <c r="AE24" s="4">
        <f t="shared" si="9"/>
        <v>0</v>
      </c>
      <c r="AF24" s="4">
        <f t="shared" si="10"/>
        <v>0</v>
      </c>
      <c r="AG24" s="4">
        <f t="shared" si="11"/>
        <v>1.4487329300537271</v>
      </c>
      <c r="AH24">
        <f t="shared" si="12"/>
        <v>14.414352838720109</v>
      </c>
      <c r="AI24" s="8">
        <f>[1]data!C4</f>
        <v>6.0464136986301001E-2</v>
      </c>
      <c r="AJ24" s="8">
        <f>[1]data!C28</f>
        <v>564.29999999999995</v>
      </c>
      <c r="AK24" s="8">
        <f>[1]data!C52</f>
        <v>553.88959999999997</v>
      </c>
      <c r="AL24" s="8">
        <f>[1]data!C76</f>
        <v>7.5224251241957002E-2</v>
      </c>
      <c r="AM24" s="8">
        <f>[1]data!C100</f>
        <v>0.55333478411777104</v>
      </c>
      <c r="AN24" s="8"/>
      <c r="AO24" s="8">
        <f>[1]data!C136</f>
        <v>2.2820505308050999E-2</v>
      </c>
      <c r="AP24" s="22" t="s">
        <v>66</v>
      </c>
      <c r="AU24">
        <v>4</v>
      </c>
      <c r="AV24" t="s">
        <v>87</v>
      </c>
      <c r="AW24">
        <v>6.0464136986301001E-2</v>
      </c>
      <c r="AX24" s="3">
        <f t="shared" si="13"/>
        <v>0</v>
      </c>
      <c r="AY24">
        <v>7.5224251241957002E-2</v>
      </c>
      <c r="AZ24" s="3">
        <f t="shared" si="14"/>
        <v>0</v>
      </c>
      <c r="BA24">
        <v>2.2820505308050999E-2</v>
      </c>
      <c r="BB24" s="3">
        <f t="shared" si="15"/>
        <v>0</v>
      </c>
      <c r="BC24">
        <v>0</v>
      </c>
      <c r="BD24" s="3">
        <f t="shared" si="16"/>
        <v>0</v>
      </c>
      <c r="BF24">
        <v>4</v>
      </c>
      <c r="BG24" t="s">
        <v>87</v>
      </c>
      <c r="BH24">
        <v>6.0464136986301001E-2</v>
      </c>
      <c r="BI24" t="s">
        <v>88</v>
      </c>
      <c r="BJ24">
        <v>0.55333478411777104</v>
      </c>
      <c r="BK24" s="3">
        <f t="shared" si="17"/>
        <v>0</v>
      </c>
      <c r="BL24">
        <v>2.2820505308050999E-2</v>
      </c>
      <c r="BM24" t="s">
        <v>89</v>
      </c>
      <c r="BN24">
        <v>0</v>
      </c>
      <c r="BO24" t="s">
        <v>90</v>
      </c>
    </row>
    <row r="25" spans="1:67" ht="19" x14ac:dyDescent="0.2">
      <c r="A25" s="9" t="s">
        <v>10</v>
      </c>
      <c r="B25">
        <f>[1]eff_c1!$A$1</f>
        <v>0.93</v>
      </c>
      <c r="D25" s="4">
        <v>5</v>
      </c>
      <c r="E25" s="19">
        <v>17.182986301370001</v>
      </c>
      <c r="F25" s="19">
        <f>[1]Ps1!B6</f>
        <v>0</v>
      </c>
      <c r="G25" s="19">
        <f>[1]Pc1!B6</f>
        <v>0</v>
      </c>
      <c r="H25" s="19">
        <f>[1]Pd1!B6</f>
        <v>1.7974722557411281E-11</v>
      </c>
      <c r="I25" s="19">
        <f>[1]Pb2!B6</f>
        <v>193.60399728052599</v>
      </c>
      <c r="J25" s="19">
        <f>[1]Ps2!B6</f>
        <v>0</v>
      </c>
      <c r="K25" s="19">
        <f>[1]Pc2!B6</f>
        <v>0</v>
      </c>
      <c r="L25" s="19">
        <f>[1]Pd2!B6</f>
        <v>4.7277012525366677E-11</v>
      </c>
      <c r="M25" s="19">
        <f>[1]SOC1!B6</f>
        <v>100.0000000000632</v>
      </c>
      <c r="N25" s="19">
        <f>[1]SOC2!B6</f>
        <v>445.96376553914803</v>
      </c>
      <c r="O25" s="15">
        <f t="shared" si="18"/>
        <v>100.00000000006322</v>
      </c>
      <c r="P25" s="17">
        <f t="shared" si="2"/>
        <v>0</v>
      </c>
      <c r="Q25" s="17">
        <f t="shared" si="19"/>
        <v>445.96376553914871</v>
      </c>
      <c r="R25" s="17">
        <f t="shared" si="3"/>
        <v>6.8212102632969618E-13</v>
      </c>
      <c r="S25" s="38">
        <f t="shared" si="4"/>
        <v>0</v>
      </c>
      <c r="T25" s="17">
        <f t="shared" si="5"/>
        <v>6.0655534246575001E-2</v>
      </c>
      <c r="U25" s="19">
        <f>[1]epsilon!B6</f>
        <v>6.0655534246575001E-2</v>
      </c>
      <c r="V25" s="17">
        <f t="shared" si="6"/>
        <v>8.3476039554626E-2</v>
      </c>
      <c r="W25" s="38">
        <f t="shared" si="7"/>
        <v>2.2820505308050999E-2</v>
      </c>
      <c r="X25" s="19">
        <f>[1]P12CDS!B6</f>
        <v>0</v>
      </c>
      <c r="Y25" s="19">
        <f>[1]P21CDS!B6</f>
        <v>0</v>
      </c>
      <c r="Z25" s="16">
        <f>H25+E25+$B$21*AN25-G25-F25-$B$22*AL25+Y25-X25</f>
        <v>1.7994494783124537E-11</v>
      </c>
      <c r="AA25" s="16">
        <f>L25+I25+$B$32*AN25-K25-J25-$B$33*AM25-Y25+X25</f>
        <v>-5.6843418860808015E-14</v>
      </c>
      <c r="AB25">
        <f>F25*AI25-(AI25+AO25)*E25</f>
        <v>-1.4343676441597588</v>
      </c>
      <c r="AC25">
        <f>J25*AI25-(AI25+AO25)*I25</f>
        <v>-16.161294934922893</v>
      </c>
      <c r="AD25" s="4">
        <f t="shared" si="8"/>
        <v>0</v>
      </c>
      <c r="AE25" s="4">
        <f t="shared" si="9"/>
        <v>0</v>
      </c>
      <c r="AF25" s="4">
        <f t="shared" si="10"/>
        <v>0</v>
      </c>
      <c r="AG25" s="4">
        <f t="shared" si="11"/>
        <v>1.434367644159757</v>
      </c>
      <c r="AH25">
        <f t="shared" si="12"/>
        <v>16.161294934926843</v>
      </c>
      <c r="AI25" s="8">
        <f>[1]data!C5</f>
        <v>6.0655534246575001E-2</v>
      </c>
      <c r="AJ25" s="8">
        <f>[1]data!C29</f>
        <v>564.29999999999995</v>
      </c>
      <c r="AK25" s="8">
        <f>[1]data!C53</f>
        <v>553.88959999999997</v>
      </c>
      <c r="AL25" s="8">
        <f>[1]data!C77</f>
        <v>7.4307578750070005E-2</v>
      </c>
      <c r="AM25" s="8">
        <f>[1]data!C101</f>
        <v>0.61897351697341296</v>
      </c>
      <c r="AN25" s="8"/>
      <c r="AO25" s="8">
        <f>[1]data!C137</f>
        <v>2.2820505308050999E-2</v>
      </c>
      <c r="AP25" s="22" t="s">
        <v>66</v>
      </c>
      <c r="AU25">
        <v>5</v>
      </c>
      <c r="AV25" t="s">
        <v>87</v>
      </c>
      <c r="AW25">
        <v>6.0655534246575001E-2</v>
      </c>
      <c r="AX25" s="3">
        <f t="shared" si="13"/>
        <v>0</v>
      </c>
      <c r="AY25">
        <v>7.4307578750070005E-2</v>
      </c>
      <c r="AZ25" s="3">
        <f t="shared" si="14"/>
        <v>0</v>
      </c>
      <c r="BA25">
        <v>2.2820505308050999E-2</v>
      </c>
      <c r="BB25" s="3">
        <f t="shared" si="15"/>
        <v>0</v>
      </c>
      <c r="BC25">
        <v>0</v>
      </c>
      <c r="BD25" s="3">
        <f t="shared" si="16"/>
        <v>0</v>
      </c>
      <c r="BF25">
        <v>5</v>
      </c>
      <c r="BG25" t="s">
        <v>87</v>
      </c>
      <c r="BH25">
        <v>6.0655534246575001E-2</v>
      </c>
      <c r="BI25" t="s">
        <v>88</v>
      </c>
      <c r="BJ25">
        <v>0.61897351697341296</v>
      </c>
      <c r="BK25" s="3">
        <f t="shared" si="17"/>
        <v>0</v>
      </c>
      <c r="BL25">
        <v>2.2820505308050999E-2</v>
      </c>
      <c r="BM25" t="s">
        <v>89</v>
      </c>
      <c r="BN25">
        <v>0</v>
      </c>
      <c r="BO25" t="s">
        <v>90</v>
      </c>
    </row>
    <row r="26" spans="1:67" ht="19" x14ac:dyDescent="0.2">
      <c r="A26" s="9" t="s">
        <v>11</v>
      </c>
      <c r="B26">
        <f>[1]eff_d1!$A$1</f>
        <v>0.97</v>
      </c>
      <c r="D26" s="4">
        <v>6</v>
      </c>
      <c r="E26" s="19">
        <v>16.905041095889999</v>
      </c>
      <c r="F26" s="19">
        <f>[1]Ps1!B7</f>
        <v>0</v>
      </c>
      <c r="G26" s="19">
        <f>[1]Pc1!B7</f>
        <v>0</v>
      </c>
      <c r="H26" s="19">
        <f>[1]Pd1!B7</f>
        <v>3.6054857531627952E-11</v>
      </c>
      <c r="I26" s="19">
        <f>[1]Pb2!B7</f>
        <v>229.1750535359418</v>
      </c>
      <c r="J26" s="19">
        <f>[1]Ps2!B7</f>
        <v>0</v>
      </c>
      <c r="K26" s="19">
        <f>[1]Pc2!B7</f>
        <v>0</v>
      </c>
      <c r="L26" s="19">
        <f>[1]Pd2!B7</f>
        <v>1.109136053400323E-10</v>
      </c>
      <c r="M26" s="19">
        <f>[1]SOC1!B7</f>
        <v>100.00000000002611</v>
      </c>
      <c r="N26" s="19">
        <f>[1]SOC2!B7</f>
        <v>445.96376553903201</v>
      </c>
      <c r="O26" s="15">
        <f t="shared" si="18"/>
        <v>100.00000000002605</v>
      </c>
      <c r="P26" s="17">
        <f t="shared" si="2"/>
        <v>0</v>
      </c>
      <c r="Q26" s="17">
        <f t="shared" si="19"/>
        <v>445.96376553903195</v>
      </c>
      <c r="R26" s="17">
        <f t="shared" si="3"/>
        <v>0</v>
      </c>
      <c r="S26" s="38">
        <f t="shared" si="4"/>
        <v>0</v>
      </c>
      <c r="T26" s="17">
        <f t="shared" si="5"/>
        <v>6.5132136986301006E-2</v>
      </c>
      <c r="U26" s="19">
        <f>[1]epsilon!B7</f>
        <v>6.5132136986301006E-2</v>
      </c>
      <c r="V26" s="17">
        <f t="shared" si="6"/>
        <v>8.7952642294352013E-2</v>
      </c>
      <c r="W26" s="38">
        <f t="shared" si="7"/>
        <v>2.2820505308051006E-2</v>
      </c>
      <c r="X26" s="19">
        <f>[1]P12CDS!B7</f>
        <v>0</v>
      </c>
      <c r="Y26" s="19">
        <f>[1]P21CDS!B7</f>
        <v>0</v>
      </c>
      <c r="Z26" s="16">
        <f>H26+E26+$B$21*AN26-G26-F26-$B$22*AL26+Y26-X26</f>
        <v>3.5598191061581019E-11</v>
      </c>
      <c r="AA26" s="16">
        <f>L26+I26+$B$32*AN26-K26-J26-$B$33*AM26-Y26+X26</f>
        <v>2.8421709430404007E-14</v>
      </c>
      <c r="AB26">
        <f>F26*AI26-(AI26+AO26)*E26</f>
        <v>-1.4868430324781337</v>
      </c>
      <c r="AC26">
        <f>J26*AI26-(AI26+AO26)*I26</f>
        <v>-20.156551506435662</v>
      </c>
      <c r="AD26" s="4">
        <f t="shared" si="8"/>
        <v>0</v>
      </c>
      <c r="AE26" s="4">
        <f t="shared" si="9"/>
        <v>0</v>
      </c>
      <c r="AF26" s="4">
        <f t="shared" si="10"/>
        <v>0</v>
      </c>
      <c r="AG26" s="4">
        <f t="shared" si="11"/>
        <v>1.4868430324781738</v>
      </c>
      <c r="AH26">
        <f t="shared" si="12"/>
        <v>20.156551506445414</v>
      </c>
      <c r="AI26" s="8">
        <f>[1]data!C6</f>
        <v>6.5132136986301006E-2</v>
      </c>
      <c r="AJ26" s="8">
        <f>[1]data!C30</f>
        <v>564.29999999999995</v>
      </c>
      <c r="AK26" s="8">
        <f>[1]data!C54</f>
        <v>553.88959999999997</v>
      </c>
      <c r="AL26" s="8">
        <f>[1]data!C78</f>
        <v>7.3105608680249998E-2</v>
      </c>
      <c r="AM26" s="8">
        <f>[1]data!C102</f>
        <v>0.73269814095937902</v>
      </c>
      <c r="AN26" s="8"/>
      <c r="AO26" s="8">
        <f>[1]data!C138</f>
        <v>2.2820505308050999E-2</v>
      </c>
      <c r="AP26" s="22" t="s">
        <v>66</v>
      </c>
      <c r="AU26">
        <v>6</v>
      </c>
      <c r="AV26" t="s">
        <v>87</v>
      </c>
      <c r="AW26">
        <v>6.5132136986301006E-2</v>
      </c>
      <c r="AX26" s="3">
        <f t="shared" si="13"/>
        <v>0</v>
      </c>
      <c r="AY26">
        <v>7.3105608680249998E-2</v>
      </c>
      <c r="AZ26" s="3">
        <f t="shared" si="14"/>
        <v>0</v>
      </c>
      <c r="BA26">
        <v>2.2820505308050999E-2</v>
      </c>
      <c r="BB26" s="3">
        <f t="shared" si="15"/>
        <v>0</v>
      </c>
      <c r="BC26">
        <v>0</v>
      </c>
      <c r="BD26" s="3">
        <f t="shared" si="16"/>
        <v>0</v>
      </c>
      <c r="BF26">
        <v>6</v>
      </c>
      <c r="BG26" t="s">
        <v>87</v>
      </c>
      <c r="BH26">
        <v>6.5132136986301006E-2</v>
      </c>
      <c r="BI26" t="s">
        <v>88</v>
      </c>
      <c r="BJ26">
        <v>0.73269814095937902</v>
      </c>
      <c r="BK26" s="3">
        <f t="shared" si="17"/>
        <v>0</v>
      </c>
      <c r="BL26">
        <v>2.2820505308050999E-2</v>
      </c>
      <c r="BM26" t="s">
        <v>89</v>
      </c>
      <c r="BN26">
        <v>0</v>
      </c>
      <c r="BO26" t="s">
        <v>90</v>
      </c>
    </row>
    <row r="27" spans="1:67" ht="19" x14ac:dyDescent="0.2">
      <c r="A27" s="9" t="s">
        <v>12</v>
      </c>
      <c r="B27">
        <f>[1]R_c1!$A$1</f>
        <v>0.2</v>
      </c>
      <c r="D27" s="4">
        <v>7</v>
      </c>
      <c r="E27" s="19">
        <v>0</v>
      </c>
      <c r="F27" s="19">
        <f>[1]Ps1!B8</f>
        <v>5.6889931642227411E-12</v>
      </c>
      <c r="G27" s="19">
        <f>[1]Pc1!B8</f>
        <v>0</v>
      </c>
      <c r="H27" s="19">
        <f>[1]Pd1!B8</f>
        <v>5.6889931642227411E-12</v>
      </c>
      <c r="I27" s="19">
        <f>[1]Pb2!B8</f>
        <v>0</v>
      </c>
      <c r="J27" s="19">
        <f>[1]Ps2!B8</f>
        <v>2.674562464606719E-11</v>
      </c>
      <c r="K27" s="19">
        <f>[1]Pc2!B8</f>
        <v>0</v>
      </c>
      <c r="L27" s="19">
        <f>[1]Pd2!B8</f>
        <v>235.1533897700522</v>
      </c>
      <c r="M27" s="19">
        <f>[1]SOC1!B8</f>
        <v>100.00000000002019</v>
      </c>
      <c r="N27" s="19">
        <f>[1]SOC2!B8</f>
        <v>198.43388157055591</v>
      </c>
      <c r="O27" s="15">
        <f t="shared" si="18"/>
        <v>100.00000000002018</v>
      </c>
      <c r="P27" s="17">
        <f t="shared" si="2"/>
        <v>0</v>
      </c>
      <c r="Q27" s="17">
        <f t="shared" si="19"/>
        <v>198.43388157055594</v>
      </c>
      <c r="R27" s="17">
        <f t="shared" si="3"/>
        <v>0</v>
      </c>
      <c r="S27" s="38">
        <f t="shared" si="4"/>
        <v>1.9201397650323582E-3</v>
      </c>
      <c r="T27" s="17">
        <f t="shared" si="5"/>
        <v>7.3826082191780995E-2</v>
      </c>
      <c r="U27" s="19">
        <f>[1]epsilon!B8</f>
        <v>7.5746221956813353E-2</v>
      </c>
      <c r="V27" s="17">
        <f t="shared" si="6"/>
        <v>9.6646587499831987E-2</v>
      </c>
      <c r="W27" s="38">
        <f t="shared" si="7"/>
        <v>2.0900365543018634E-2</v>
      </c>
      <c r="X27" s="19">
        <f>[1]P12CDS!B8</f>
        <v>10.04882680479456</v>
      </c>
      <c r="Y27" s="19">
        <f>[1]P21CDS!B8</f>
        <v>0</v>
      </c>
      <c r="Z27" s="16">
        <f>H27+E27+$B$21*AN27-G27-F27-$B$22*AL27+Y27-X27</f>
        <v>0</v>
      </c>
      <c r="AA27" s="16">
        <f>L27+I27+$B$32*AN27-K27-J27-$B$33*AM27-Y27+X27</f>
        <v>6.9810823788429843E-13</v>
      </c>
      <c r="AB27">
        <f>F27*AI27-(AI27+AO27)*E27</f>
        <v>4.1999607693038831E-13</v>
      </c>
      <c r="AC27">
        <f>J27*AI27-(AI27+AO27)*I27</f>
        <v>1.9745246833910799E-12</v>
      </c>
      <c r="AD27" s="4">
        <f t="shared" si="8"/>
        <v>0.74859963205555102</v>
      </c>
      <c r="AE27" s="4">
        <f t="shared" si="9"/>
        <v>-0.7988437660795239</v>
      </c>
      <c r="AF27" s="4">
        <f t="shared" si="10"/>
        <v>5.0244134023972799E-2</v>
      </c>
      <c r="AG27" s="4">
        <f t="shared" si="11"/>
        <v>1.6405321332563905</v>
      </c>
      <c r="AH27">
        <f t="shared" si="12"/>
        <v>27.369967254137144</v>
      </c>
      <c r="AI27" s="8">
        <f>[1]data!C7</f>
        <v>7.3826082191780995E-2</v>
      </c>
      <c r="AJ27" s="8">
        <f>[1]data!C31</f>
        <v>564.29999999999995</v>
      </c>
      <c r="AK27" s="8">
        <f>[1]data!C55</f>
        <v>553.88959999999997</v>
      </c>
      <c r="AL27" s="8">
        <f>[1]data!C79</f>
        <v>7.3406190056999998E-2</v>
      </c>
      <c r="AM27" s="8">
        <f>[1]data!C103</f>
        <v>0.90541044825407002</v>
      </c>
      <c r="AN27" s="8">
        <f>[1]data!C121</f>
        <v>4.749275E-2</v>
      </c>
      <c r="AO27" s="8">
        <f>[1]data!C139</f>
        <v>2.2820505308050999E-2</v>
      </c>
      <c r="AP27" s="22" t="s">
        <v>66</v>
      </c>
      <c r="AU27">
        <v>7</v>
      </c>
      <c r="AV27" t="s">
        <v>87</v>
      </c>
      <c r="AW27">
        <v>7.3826082191780995E-2</v>
      </c>
      <c r="AX27" s="3">
        <f t="shared" si="13"/>
        <v>0</v>
      </c>
      <c r="AY27">
        <v>7.3406190056999998E-2</v>
      </c>
      <c r="AZ27" s="3">
        <f t="shared" si="14"/>
        <v>0</v>
      </c>
      <c r="BA27">
        <v>2.2820505308050999E-2</v>
      </c>
      <c r="BB27" s="3">
        <f t="shared" si="15"/>
        <v>0</v>
      </c>
      <c r="BC27">
        <v>4.749275E-2</v>
      </c>
      <c r="BD27" s="3">
        <f t="shared" si="16"/>
        <v>0</v>
      </c>
      <c r="BF27">
        <v>7</v>
      </c>
      <c r="BG27" t="s">
        <v>87</v>
      </c>
      <c r="BH27">
        <v>7.3826082191780995E-2</v>
      </c>
      <c r="BI27" t="s">
        <v>88</v>
      </c>
      <c r="BJ27">
        <v>0.90541044825407002</v>
      </c>
      <c r="BK27" s="3">
        <f t="shared" si="17"/>
        <v>0</v>
      </c>
      <c r="BL27">
        <v>2.2820505308050999E-2</v>
      </c>
      <c r="BM27" t="s">
        <v>89</v>
      </c>
      <c r="BN27">
        <v>4.749275E-2</v>
      </c>
      <c r="BO27" t="s">
        <v>90</v>
      </c>
    </row>
    <row r="28" spans="1:67" ht="19" x14ac:dyDescent="0.2">
      <c r="A28" s="9" t="s">
        <v>13</v>
      </c>
      <c r="B28">
        <f>[1]R_d1!$A$1</f>
        <v>0.2</v>
      </c>
      <c r="D28" s="4">
        <v>8</v>
      </c>
      <c r="E28" s="19">
        <v>0</v>
      </c>
      <c r="F28" s="19">
        <f>[1]Ps1!B9</f>
        <v>7.4506793743418223E-12</v>
      </c>
      <c r="G28" s="19">
        <f>[1]Pc1!B9</f>
        <v>0</v>
      </c>
      <c r="H28" s="19">
        <f>[1]Pd1!B9</f>
        <v>7.4506793743418223E-12</v>
      </c>
      <c r="I28" s="19">
        <f>[1]Pb2!B9</f>
        <v>0</v>
      </c>
      <c r="J28" s="19">
        <f>[1]Ps2!B9</f>
        <v>3.7879590177698162E-11</v>
      </c>
      <c r="K28" s="19">
        <f>[1]Pc2!B9</f>
        <v>0</v>
      </c>
      <c r="L28" s="19">
        <f>[1]Pd2!B9</f>
        <v>55.512187491935428</v>
      </c>
      <c r="M28" s="19">
        <f>[1]SOC1!B9</f>
        <v>100.00000000001251</v>
      </c>
      <c r="N28" s="19">
        <f>[1]SOC2!B9</f>
        <v>140.0000000000976</v>
      </c>
      <c r="O28" s="15">
        <f t="shared" si="18"/>
        <v>100.00000000001249</v>
      </c>
      <c r="P28" s="17">
        <f t="shared" si="2"/>
        <v>0</v>
      </c>
      <c r="Q28" s="17">
        <f t="shared" si="19"/>
        <v>140.0000000000976</v>
      </c>
      <c r="R28" s="17">
        <f t="shared" si="3"/>
        <v>0</v>
      </c>
      <c r="S28" s="38">
        <f t="shared" si="4"/>
        <v>6.0285281589980283E-3</v>
      </c>
      <c r="T28" s="17">
        <f t="shared" si="5"/>
        <v>7.6148794520547999E-2</v>
      </c>
      <c r="U28" s="19">
        <f>[1]epsilon!B9</f>
        <v>8.2177322679546028E-2</v>
      </c>
      <c r="V28" s="17">
        <f t="shared" si="6"/>
        <v>9.8969299828599006E-2</v>
      </c>
      <c r="W28" s="38">
        <f t="shared" si="7"/>
        <v>1.6791977149052978E-2</v>
      </c>
      <c r="X28" s="19">
        <f>[1]P12CDS!B9</f>
        <v>94.044604159817197</v>
      </c>
      <c r="Y28" s="19">
        <f>[1]P21CDS!B9</f>
        <v>0</v>
      </c>
      <c r="Z28" s="16">
        <f>H28+E28+$B$21*AN28-G28-F28-$B$22*AL28+Y28-X28</f>
        <v>0</v>
      </c>
      <c r="AA28" s="16">
        <f>L28+I28+$B$32*AN28-K28-J28-$B$33*AM28-Y28+X28</f>
        <v>0</v>
      </c>
      <c r="AB28">
        <f>F28*AI28-(AI28+AO28)*E28</f>
        <v>5.6736025271524052E-13</v>
      </c>
      <c r="AC28">
        <f>J28*AI28-(AI28+AO28)*I28</f>
        <v>2.8844851289641055E-12</v>
      </c>
      <c r="AD28" s="4">
        <f t="shared" si="8"/>
        <v>7.6107780271117029</v>
      </c>
      <c r="AE28" s="4">
        <f t="shared" si="9"/>
        <v>-8.0810010479107888</v>
      </c>
      <c r="AF28" s="4">
        <f t="shared" si="10"/>
        <v>0.47022302079908601</v>
      </c>
      <c r="AG28" s="4">
        <f t="shared" si="11"/>
        <v>1.957111125391376</v>
      </c>
      <c r="AH28">
        <f t="shared" si="12"/>
        <v>30.639337283726309</v>
      </c>
      <c r="AI28" s="8">
        <f>[1]data!C8</f>
        <v>7.6148794520547999E-2</v>
      </c>
      <c r="AJ28" s="8">
        <f>[1]data!C32</f>
        <v>564.29999999999995</v>
      </c>
      <c r="AK28" s="8">
        <f>[1]data!C56</f>
        <v>553.88959999999997</v>
      </c>
      <c r="AL28" s="8">
        <f>[1]data!C80</f>
        <v>8.5516408757497997E-2</v>
      </c>
      <c r="AM28" s="8">
        <f>[1]data!C104</f>
        <v>0.98977531384968997</v>
      </c>
      <c r="AN28" s="8">
        <f>[1]data!C122</f>
        <v>0.20003433333333301</v>
      </c>
      <c r="AO28" s="8">
        <f>[1]data!C140</f>
        <v>2.2820505308050999E-2</v>
      </c>
      <c r="AP28" s="22" t="s">
        <v>66</v>
      </c>
      <c r="AU28">
        <v>8</v>
      </c>
      <c r="AV28" t="s">
        <v>87</v>
      </c>
      <c r="AW28">
        <v>7.6148794520547999E-2</v>
      </c>
      <c r="AX28" s="3">
        <f t="shared" si="13"/>
        <v>0</v>
      </c>
      <c r="AY28">
        <v>8.5516408757497997E-2</v>
      </c>
      <c r="AZ28" s="3">
        <f t="shared" si="14"/>
        <v>0</v>
      </c>
      <c r="BA28">
        <v>2.2820505308050999E-2</v>
      </c>
      <c r="BB28" s="3">
        <f t="shared" si="15"/>
        <v>0</v>
      </c>
      <c r="BC28">
        <v>0.20003433333333301</v>
      </c>
      <c r="BD28" s="3">
        <f t="shared" si="16"/>
        <v>0</v>
      </c>
      <c r="BF28">
        <v>8</v>
      </c>
      <c r="BG28" t="s">
        <v>87</v>
      </c>
      <c r="BH28">
        <v>7.6148794520547999E-2</v>
      </c>
      <c r="BI28" t="s">
        <v>88</v>
      </c>
      <c r="BJ28">
        <v>0.98977531384968997</v>
      </c>
      <c r="BK28" s="3">
        <f t="shared" si="17"/>
        <v>0</v>
      </c>
      <c r="BL28">
        <v>2.2820505308050999E-2</v>
      </c>
      <c r="BM28" t="s">
        <v>89</v>
      </c>
      <c r="BN28">
        <v>0.20003433333333301</v>
      </c>
      <c r="BO28" t="s">
        <v>90</v>
      </c>
    </row>
    <row r="29" spans="1:67" ht="19" x14ac:dyDescent="0.2">
      <c r="A29" s="9" t="s">
        <v>14</v>
      </c>
      <c r="B29">
        <f>[1]DoD1!$A$1</f>
        <v>0.9</v>
      </c>
      <c r="D29" s="4">
        <v>9</v>
      </c>
      <c r="E29" s="19">
        <v>0</v>
      </c>
      <c r="F29" s="19">
        <f>[1]Ps1!B10</f>
        <v>4.6729527435130963E-12</v>
      </c>
      <c r="G29" s="19">
        <f>[1]Pc1!B10</f>
        <v>0</v>
      </c>
      <c r="H29" s="19">
        <f>[1]Pd1!B10</f>
        <v>4.6729527435130963E-12</v>
      </c>
      <c r="I29" s="19">
        <f>[1]Pb2!B10</f>
        <v>7.9322602883933717</v>
      </c>
      <c r="J29" s="19">
        <f>[1]Ps2!B10</f>
        <v>0</v>
      </c>
      <c r="K29" s="19">
        <f>[1]Pc2!B10</f>
        <v>0</v>
      </c>
      <c r="L29" s="19">
        <f>[1]Pd2!B10</f>
        <v>8.741956466985952E-11</v>
      </c>
      <c r="M29" s="19">
        <f>[1]SOC1!B10</f>
        <v>100.0000000000077</v>
      </c>
      <c r="N29" s="19">
        <f>[1]SOC2!B10</f>
        <v>140.0000000000056</v>
      </c>
      <c r="O29" s="15">
        <f t="shared" si="18"/>
        <v>100.00000000000767</v>
      </c>
      <c r="P29" s="17">
        <f t="shared" si="2"/>
        <v>0</v>
      </c>
      <c r="Q29" s="17">
        <f t="shared" si="19"/>
        <v>140.00000000000557</v>
      </c>
      <c r="R29" s="17">
        <f t="shared" si="3"/>
        <v>0</v>
      </c>
      <c r="S29" s="38">
        <f t="shared" si="4"/>
        <v>3.4144785500742625E-3</v>
      </c>
      <c r="T29" s="17">
        <f t="shared" si="5"/>
        <v>6.9382712328766999E-2</v>
      </c>
      <c r="U29" s="19">
        <f>[1]epsilon!B10</f>
        <v>7.2797190878841261E-2</v>
      </c>
      <c r="V29" s="17">
        <f t="shared" si="6"/>
        <v>9.0457083634007604E-2</v>
      </c>
      <c r="W29" s="38">
        <f t="shared" si="7"/>
        <v>1.7659892755166343E-2</v>
      </c>
      <c r="X29" s="19">
        <f>[1]P12CDS!B10</f>
        <v>7.2957661586756331</v>
      </c>
      <c r="Y29" s="19">
        <f>[1]P21CDS!B10</f>
        <v>0</v>
      </c>
      <c r="Z29" s="16">
        <f>H29+E29+$B$21*AN29-G29-F29-$B$22*AL29+Y29-X29</f>
        <v>0</v>
      </c>
      <c r="AA29" s="16">
        <f>L29+I29+$B$32*AN29-K29-J29-$B$33*AM29-Y29+X29</f>
        <v>0</v>
      </c>
      <c r="AB29">
        <f>F29*AI29-(AI29+AO29)*E29</f>
        <v>3.242221359290917E-13</v>
      </c>
      <c r="AC29">
        <f>J29*AI29-(AI29+AO29)*I29</f>
        <v>-0.71752913231391646</v>
      </c>
      <c r="AD29" s="4">
        <f t="shared" si="8"/>
        <v>0.52199157396215601</v>
      </c>
      <c r="AE29" s="4">
        <f t="shared" si="9"/>
        <v>-0.55847040475553422</v>
      </c>
      <c r="AF29" s="4">
        <f t="shared" si="10"/>
        <v>3.6478830793378166E-2</v>
      </c>
      <c r="AG29" s="4">
        <f t="shared" si="11"/>
        <v>18.483978165286771</v>
      </c>
      <c r="AH29">
        <f t="shared" si="12"/>
        <v>28.293380077906043</v>
      </c>
      <c r="AI29" s="8">
        <f>[1]data!C9</f>
        <v>6.9382712328766999E-2</v>
      </c>
      <c r="AJ29" s="8">
        <f>[1]data!C33</f>
        <v>338.05515300000002</v>
      </c>
      <c r="AK29" s="8">
        <f>[1]data!C57</f>
        <v>379.49779999999998</v>
      </c>
      <c r="AL29" s="8">
        <f>[1]data!C81</f>
        <v>0.883664344082149</v>
      </c>
      <c r="AM29" s="8">
        <f>[1]data!C105</f>
        <v>1</v>
      </c>
      <c r="AN29" s="8">
        <f>[1]data!C123</f>
        <v>0.37194291666666701</v>
      </c>
      <c r="AO29" s="8">
        <f>[1]data!C141</f>
        <v>2.1074371305240602E-2</v>
      </c>
      <c r="AP29" s="24" t="s">
        <v>67</v>
      </c>
      <c r="AQ29">
        <f>kappaP5*AJ29</f>
        <v>653.39638026992998</v>
      </c>
      <c r="AR29">
        <f>kappaP5*AK29</f>
        <v>733.49714281799993</v>
      </c>
      <c r="AU29">
        <v>9</v>
      </c>
      <c r="AV29" t="s">
        <v>87</v>
      </c>
      <c r="AW29">
        <v>6.9382712328766999E-2</v>
      </c>
      <c r="AX29" s="3">
        <f t="shared" si="13"/>
        <v>0</v>
      </c>
      <c r="AY29">
        <v>0.883664344082149</v>
      </c>
      <c r="AZ29" s="3">
        <f t="shared" si="14"/>
        <v>0</v>
      </c>
      <c r="BA29">
        <v>2.1074371305240602E-2</v>
      </c>
      <c r="BB29" s="3">
        <f t="shared" si="15"/>
        <v>0</v>
      </c>
      <c r="BC29">
        <v>0.37194291666666701</v>
      </c>
      <c r="BD29" s="3">
        <f t="shared" si="16"/>
        <v>0</v>
      </c>
      <c r="BF29">
        <v>9</v>
      </c>
      <c r="BG29" t="s">
        <v>87</v>
      </c>
      <c r="BH29">
        <v>6.9382712328766999E-2</v>
      </c>
      <c r="BI29" t="s">
        <v>88</v>
      </c>
      <c r="BJ29">
        <v>1</v>
      </c>
      <c r="BK29" s="3">
        <f t="shared" si="17"/>
        <v>0</v>
      </c>
      <c r="BL29">
        <v>2.1074371305240602E-2</v>
      </c>
      <c r="BM29" t="s">
        <v>89</v>
      </c>
      <c r="BN29">
        <v>0.37194291666666701</v>
      </c>
      <c r="BO29" t="s">
        <v>90</v>
      </c>
    </row>
    <row r="30" spans="1:67" ht="19" x14ac:dyDescent="0.2">
      <c r="A30" s="9" t="s">
        <v>15</v>
      </c>
      <c r="B30">
        <f>[1]Pmax1!$A$1</f>
        <v>600</v>
      </c>
      <c r="D30" s="4">
        <v>10</v>
      </c>
      <c r="E30" s="19">
        <v>0</v>
      </c>
      <c r="F30" s="19">
        <f>[1]Ps1!B11</f>
        <v>6.2370997310021853E-11</v>
      </c>
      <c r="G30" s="19">
        <f>[1]Pc1!B11</f>
        <v>60.192606386923607</v>
      </c>
      <c r="H30" s="19">
        <f>[1]Pd1!B11</f>
        <v>0</v>
      </c>
      <c r="I30" s="19">
        <f>[1]Pb2!B11</f>
        <v>0</v>
      </c>
      <c r="J30" s="19">
        <f>[1]Ps2!B11</f>
        <v>2.4385772763070579E-10</v>
      </c>
      <c r="K30" s="19">
        <f>[1]Pc2!B11</f>
        <v>103.1809736310732</v>
      </c>
      <c r="L30" s="19">
        <f>[1]Pd2!B11</f>
        <v>0</v>
      </c>
      <c r="M30" s="19">
        <f>[1]SOC1!B11</f>
        <v>155.97912393984669</v>
      </c>
      <c r="N30" s="19">
        <f>[1]SOC2!B11</f>
        <v>234.92649574059291</v>
      </c>
      <c r="O30" s="15">
        <f t="shared" si="18"/>
        <v>155.97912393984663</v>
      </c>
      <c r="P30" s="17">
        <f t="shared" si="2"/>
        <v>0</v>
      </c>
      <c r="Q30" s="17">
        <f t="shared" si="19"/>
        <v>234.92649574059291</v>
      </c>
      <c r="R30" s="17">
        <f t="shared" si="3"/>
        <v>0</v>
      </c>
      <c r="S30" s="38">
        <f t="shared" si="4"/>
        <v>0</v>
      </c>
      <c r="T30" s="17">
        <f t="shared" si="5"/>
        <v>5.6760082191780997E-2</v>
      </c>
      <c r="U30" s="19">
        <f>[1]epsilon!B11</f>
        <v>5.6760082191780997E-2</v>
      </c>
      <c r="V30" s="17">
        <f t="shared" si="6"/>
        <v>8.8748430491131999E-2</v>
      </c>
      <c r="W30" s="38">
        <f t="shared" si="7"/>
        <v>3.1988348299351002E-2</v>
      </c>
      <c r="X30" s="19">
        <f>[1]P12CDS!B11</f>
        <v>0</v>
      </c>
      <c r="Y30" s="19">
        <f>[1]P21CDS!B11</f>
        <v>0</v>
      </c>
      <c r="Z30" s="16">
        <f>H30+E30+$B$21*AN30-G30-F30-$B$22*AL30+Y30-X30</f>
        <v>2.8421709430404007E-14</v>
      </c>
      <c r="AA30" s="16">
        <f>L30+I30+$B$32*AN30-K30-J30-$B$33*AM30-Y30+X30</f>
        <v>8.5265128291212022E-13</v>
      </c>
      <c r="AB30">
        <f>F30*AI30-(AI30+AO30)*E30</f>
        <v>3.540182933700192E-12</v>
      </c>
      <c r="AC30">
        <f>J30*AI30-(AI30+AO30)*I30</f>
        <v>1.3841384663419804E-11</v>
      </c>
      <c r="AD30" s="4">
        <f t="shared" si="8"/>
        <v>0</v>
      </c>
      <c r="AE30" s="4">
        <f t="shared" si="9"/>
        <v>0</v>
      </c>
      <c r="AF30" s="4">
        <f t="shared" si="10"/>
        <v>0</v>
      </c>
      <c r="AG30" s="4">
        <f t="shared" si="11"/>
        <v>20.522308639961842</v>
      </c>
      <c r="AH30">
        <f t="shared" si="12"/>
        <v>27.207431178984503</v>
      </c>
      <c r="AI30" s="8">
        <f>[1]data!C10</f>
        <v>5.6760082191780997E-2</v>
      </c>
      <c r="AJ30" s="8">
        <f>[1]data!C34</f>
        <v>404.47</v>
      </c>
      <c r="AK30" s="8">
        <f>[1]data!C58</f>
        <v>494.17200000000003</v>
      </c>
      <c r="AL30" s="8">
        <f>[1]data!C82</f>
        <v>1</v>
      </c>
      <c r="AM30" s="8">
        <f>[1]data!C106</f>
        <v>0.980132084762807</v>
      </c>
      <c r="AN30" s="8">
        <f>[1]data!C124</f>
        <v>0.51218624999999995</v>
      </c>
      <c r="AO30" s="8">
        <f>[1]data!C142</f>
        <v>3.1988348299351002E-2</v>
      </c>
      <c r="AP30" s="25" t="s">
        <v>68</v>
      </c>
      <c r="AQ30">
        <f>kappaP3*AJ30</f>
        <v>2652.9874899000001</v>
      </c>
      <c r="AR30">
        <f>kappaP3*AK30</f>
        <v>3241.3581572400003</v>
      </c>
      <c r="AU30">
        <v>10</v>
      </c>
      <c r="AV30" t="s">
        <v>87</v>
      </c>
      <c r="AW30">
        <v>5.6760082191780997E-2</v>
      </c>
      <c r="AX30" s="3">
        <f t="shared" si="13"/>
        <v>0</v>
      </c>
      <c r="AY30">
        <v>1</v>
      </c>
      <c r="AZ30" s="3">
        <f t="shared" si="14"/>
        <v>0</v>
      </c>
      <c r="BA30">
        <v>3.1988348299351002E-2</v>
      </c>
      <c r="BB30" s="3">
        <f t="shared" si="15"/>
        <v>0</v>
      </c>
      <c r="BC30">
        <v>0.51218624999999995</v>
      </c>
      <c r="BD30" s="3">
        <f t="shared" si="16"/>
        <v>0</v>
      </c>
      <c r="BF30">
        <v>10</v>
      </c>
      <c r="BG30" t="s">
        <v>87</v>
      </c>
      <c r="BH30">
        <v>5.6760082191780997E-2</v>
      </c>
      <c r="BI30" t="s">
        <v>88</v>
      </c>
      <c r="BJ30">
        <v>0.980132084762807</v>
      </c>
      <c r="BK30" s="3">
        <f t="shared" si="17"/>
        <v>0</v>
      </c>
      <c r="BL30">
        <v>3.1988348299351002E-2</v>
      </c>
      <c r="BM30" t="s">
        <v>89</v>
      </c>
      <c r="BN30">
        <v>0.51218624999999995</v>
      </c>
      <c r="BO30" t="s">
        <v>90</v>
      </c>
    </row>
    <row r="31" spans="1:67" ht="19" x14ac:dyDescent="0.2">
      <c r="A31" s="9" t="s">
        <v>16</v>
      </c>
      <c r="B31">
        <f>[1]Capacity01!$A$1</f>
        <v>-31713.9</v>
      </c>
      <c r="D31" s="4">
        <v>11</v>
      </c>
      <c r="E31" s="19">
        <v>0</v>
      </c>
      <c r="F31" s="19">
        <f>[1]Ps1!B12</f>
        <v>4.1836730965433971E-11</v>
      </c>
      <c r="G31" s="19">
        <f>[1]Pc1!B12</f>
        <v>120.6499078926519</v>
      </c>
      <c r="H31" s="19">
        <f>[1]Pd1!B12</f>
        <v>0</v>
      </c>
      <c r="I31" s="19">
        <f>[1]Pb2!B12</f>
        <v>0</v>
      </c>
      <c r="J31" s="19">
        <f>[1]Ps2!B12</f>
        <v>6.8423084160899351E-11</v>
      </c>
      <c r="K31" s="19">
        <f>[1]Pc2!B12</f>
        <v>184.5418943314194</v>
      </c>
      <c r="L31" s="19">
        <f>[1]Pd2!B12</f>
        <v>0</v>
      </c>
      <c r="M31" s="19">
        <f>[1]SOC1!B12</f>
        <v>268.18353828001261</v>
      </c>
      <c r="N31" s="19">
        <f>[1]SOC2!B12</f>
        <v>404.70503852548433</v>
      </c>
      <c r="O31" s="15">
        <f t="shared" si="18"/>
        <v>268.1835382800129</v>
      </c>
      <c r="P31" s="17">
        <f t="shared" si="2"/>
        <v>0</v>
      </c>
      <c r="Q31" s="17">
        <f t="shared" si="19"/>
        <v>404.70503852549876</v>
      </c>
      <c r="R31" s="17">
        <f t="shared" si="3"/>
        <v>1.4438228390645236E-11</v>
      </c>
      <c r="S31" s="38">
        <f t="shared" si="4"/>
        <v>0</v>
      </c>
      <c r="T31" s="17">
        <f t="shared" si="5"/>
        <v>4.6949369863013998E-2</v>
      </c>
      <c r="U31" s="19">
        <f>[1]epsilon!B12</f>
        <v>4.6949369863013998E-2</v>
      </c>
      <c r="V31" s="17">
        <f t="shared" si="6"/>
        <v>6.9140017297981499E-2</v>
      </c>
      <c r="W31" s="38">
        <f t="shared" si="7"/>
        <v>2.21906474349675E-2</v>
      </c>
      <c r="X31" s="19">
        <f>[1]P12CDS!B12</f>
        <v>0</v>
      </c>
      <c r="Y31" s="19">
        <f>[1]P21CDS!B12</f>
        <v>0</v>
      </c>
      <c r="Z31" s="16">
        <f>H31+E31+$B$21*AN31-G31-F31-$B$22*AL31+Y31-X31</f>
        <v>-2.8421709430404007E-13</v>
      </c>
      <c r="AA31" s="16">
        <f>L31+I31+$B$32*AN31-K31-J31-$B$33*AM31-Y31+X31</f>
        <v>3.1832314562052488E-12</v>
      </c>
      <c r="AB31">
        <f>F31*AI31-(AI31+AO31)*E31</f>
        <v>1.9642081559555703E-12</v>
      </c>
      <c r="AC31">
        <f>J31*AI31-(AI31+AO31)*I31</f>
        <v>3.2124206854381984E-12</v>
      </c>
      <c r="AD31" s="4">
        <f t="shared" si="8"/>
        <v>0</v>
      </c>
      <c r="AE31" s="4">
        <f t="shared" si="9"/>
        <v>0</v>
      </c>
      <c r="AF31" s="4">
        <f t="shared" si="10"/>
        <v>0</v>
      </c>
      <c r="AG31" s="4">
        <f t="shared" si="11"/>
        <v>15.464358244334621</v>
      </c>
      <c r="AH31">
        <f t="shared" si="12"/>
        <v>20.711554013029961</v>
      </c>
      <c r="AI31" s="8">
        <f>[1]data!C11</f>
        <v>4.6949369863013998E-2</v>
      </c>
      <c r="AJ31" s="8">
        <f>[1]data!C35</f>
        <v>442.91</v>
      </c>
      <c r="AK31" s="8">
        <f>[1]data!C59</f>
        <v>561.32090000000005</v>
      </c>
      <c r="AL31" s="8">
        <f>[1]data!C83</f>
        <v>0.96724587130093598</v>
      </c>
      <c r="AM31" s="8">
        <f>[1]data!C107</f>
        <v>0.957725277555312</v>
      </c>
      <c r="AN31" s="8">
        <f>[1]data!C125</f>
        <v>0.60512683333333295</v>
      </c>
      <c r="AO31" s="8">
        <f>[1]data!C143</f>
        <v>2.21906474349675E-2</v>
      </c>
      <c r="AP31" s="26" t="s">
        <v>69</v>
      </c>
      <c r="AQ31">
        <f>kappaP4*AJ31</f>
        <v>2290.7703818999998</v>
      </c>
      <c r="AR31">
        <f>kappaP4*AK31</f>
        <v>2903.2022136810001</v>
      </c>
      <c r="AU31">
        <v>11</v>
      </c>
      <c r="AV31" t="s">
        <v>87</v>
      </c>
      <c r="AW31">
        <v>4.6949369863013998E-2</v>
      </c>
      <c r="AX31" s="3">
        <f t="shared" si="13"/>
        <v>0</v>
      </c>
      <c r="AY31">
        <v>0.96724587130093598</v>
      </c>
      <c r="AZ31" s="3">
        <f t="shared" si="14"/>
        <v>0</v>
      </c>
      <c r="BA31">
        <v>2.21906474349675E-2</v>
      </c>
      <c r="BB31" s="3">
        <f t="shared" si="15"/>
        <v>0</v>
      </c>
      <c r="BC31">
        <v>0.60512683333333295</v>
      </c>
      <c r="BD31" s="3">
        <f t="shared" si="16"/>
        <v>0</v>
      </c>
      <c r="BF31">
        <v>11</v>
      </c>
      <c r="BG31" t="s">
        <v>87</v>
      </c>
      <c r="BH31">
        <v>4.6949369863013998E-2</v>
      </c>
      <c r="BI31" t="s">
        <v>88</v>
      </c>
      <c r="BJ31">
        <v>0.957725277555312</v>
      </c>
      <c r="BK31" s="3">
        <f t="shared" si="17"/>
        <v>0</v>
      </c>
      <c r="BL31">
        <v>2.21906474349675E-2</v>
      </c>
      <c r="BM31" t="s">
        <v>89</v>
      </c>
      <c r="BN31">
        <v>0.60512683333333295</v>
      </c>
      <c r="BO31" t="s">
        <v>90</v>
      </c>
    </row>
    <row r="32" spans="1:67" ht="19" x14ac:dyDescent="0.2">
      <c r="A32" s="9" t="s">
        <v>17</v>
      </c>
      <c r="B32">
        <f>[1]Ppvmax2!$A$1</f>
        <v>800</v>
      </c>
      <c r="D32" s="4">
        <v>12</v>
      </c>
      <c r="E32" s="19">
        <v>119.57084821545899</v>
      </c>
      <c r="F32" s="19">
        <f>[1]Ps1!B13</f>
        <v>0</v>
      </c>
      <c r="G32" s="19">
        <f>[1]Pc1!B13</f>
        <v>263.27811598581491</v>
      </c>
      <c r="H32" s="19">
        <f>[1]Pd1!B13</f>
        <v>0</v>
      </c>
      <c r="I32" s="19">
        <f>[1]Pb2!B13</f>
        <v>0</v>
      </c>
      <c r="J32" s="19">
        <f>[1]Ps2!B13</f>
        <v>3.6849291745408043E-11</v>
      </c>
      <c r="K32" s="19">
        <f>[1]Pc2!B13</f>
        <v>221.50564933137611</v>
      </c>
      <c r="L32" s="19">
        <f>[1]Pd2!B13</f>
        <v>0</v>
      </c>
      <c r="M32" s="19">
        <f>[1]SOC1!B13</f>
        <v>513.03218614682044</v>
      </c>
      <c r="N32" s="19">
        <f>[1]SOC2!B13</f>
        <v>608.49023591035029</v>
      </c>
      <c r="O32" s="15">
        <f t="shared" si="18"/>
        <v>513.03218614682078</v>
      </c>
      <c r="P32" s="17">
        <f t="shared" si="2"/>
        <v>0</v>
      </c>
      <c r="Q32" s="17">
        <f t="shared" si="19"/>
        <v>608.49023591036485</v>
      </c>
      <c r="R32" s="17">
        <f t="shared" si="3"/>
        <v>1.4551915228366852E-11</v>
      </c>
      <c r="S32" s="38">
        <f t="shared" si="4"/>
        <v>0</v>
      </c>
      <c r="T32" s="17">
        <f t="shared" si="5"/>
        <v>4.1846739726027003E-2</v>
      </c>
      <c r="U32" s="19">
        <f>[1]epsilon!B13</f>
        <v>4.1846739726027003E-2</v>
      </c>
      <c r="V32" s="17">
        <f t="shared" si="6"/>
        <v>6.4037387160994497E-2</v>
      </c>
      <c r="W32" s="38">
        <f t="shared" si="7"/>
        <v>2.2190647434967493E-2</v>
      </c>
      <c r="X32" s="19">
        <f>[1]P12CDS!B13</f>
        <v>0</v>
      </c>
      <c r="Y32" s="19">
        <f>[1]P21CDS!B13</f>
        <v>0</v>
      </c>
      <c r="Z32" s="16">
        <f>H32+E32+$B$21*AN32-G32-F32-$B$22*AL32+Y32-X32</f>
        <v>-9.4948404694150668E-10</v>
      </c>
      <c r="AA32" s="16">
        <f>L32+I32+$B$32*AN32-K32-J32-$B$33*AM32-Y32+X32</f>
        <v>-3.865352482534945E-12</v>
      </c>
      <c r="AB32">
        <f>F32*AI32-(AI32+AO32)*E32</f>
        <v>-7.6570047003418553</v>
      </c>
      <c r="AC32">
        <f>J32*AI32-(AI32+AO32)*I32</f>
        <v>1.5420227207585257E-12</v>
      </c>
      <c r="AD32" s="4">
        <f t="shared" si="8"/>
        <v>0</v>
      </c>
      <c r="AE32" s="4">
        <f t="shared" si="9"/>
        <v>0</v>
      </c>
      <c r="AF32" s="4">
        <f t="shared" si="10"/>
        <v>0</v>
      </c>
      <c r="AG32" s="4">
        <f t="shared" si="11"/>
        <v>14.310692812865035</v>
      </c>
      <c r="AH32">
        <f t="shared" si="12"/>
        <v>18.874521484187856</v>
      </c>
      <c r="AI32" s="8">
        <f>[1]data!C12</f>
        <v>4.1846739726027003E-2</v>
      </c>
      <c r="AJ32" s="8">
        <f>[1]data!C36</f>
        <v>442.91</v>
      </c>
      <c r="AK32" s="8">
        <f>[1]data!C60</f>
        <v>561.32090000000005</v>
      </c>
      <c r="AL32" s="8">
        <f>[1]data!C84</f>
        <v>0.96641023848649898</v>
      </c>
      <c r="AM32" s="8">
        <f>[1]data!C108</f>
        <v>0.94232365770917104</v>
      </c>
      <c r="AN32" s="8">
        <f>[1]data!C126</f>
        <v>0.64530983333333303</v>
      </c>
      <c r="AO32" s="8">
        <f>[1]data!C144</f>
        <v>2.21906474349675E-2</v>
      </c>
      <c r="AP32" s="26" t="s">
        <v>69</v>
      </c>
      <c r="AU32">
        <v>12</v>
      </c>
      <c r="AV32" t="s">
        <v>87</v>
      </c>
      <c r="AW32">
        <v>4.1846739726027003E-2</v>
      </c>
      <c r="AX32" s="3">
        <f t="shared" si="13"/>
        <v>0</v>
      </c>
      <c r="AY32">
        <v>0.96641023848649898</v>
      </c>
      <c r="AZ32" s="3">
        <f t="shared" si="14"/>
        <v>0</v>
      </c>
      <c r="BA32">
        <v>2.21906474349675E-2</v>
      </c>
      <c r="BB32" s="3">
        <f t="shared" si="15"/>
        <v>0</v>
      </c>
      <c r="BC32">
        <v>0.64530983333333303</v>
      </c>
      <c r="BD32" s="3">
        <f t="shared" si="16"/>
        <v>0</v>
      </c>
      <c r="BF32">
        <v>12</v>
      </c>
      <c r="BG32" t="s">
        <v>87</v>
      </c>
      <c r="BH32">
        <v>4.1846739726027003E-2</v>
      </c>
      <c r="BI32" t="s">
        <v>88</v>
      </c>
      <c r="BJ32">
        <v>0.94232365770917104</v>
      </c>
      <c r="BK32" s="3">
        <f t="shared" si="17"/>
        <v>0</v>
      </c>
      <c r="BL32">
        <v>2.21906474349675E-2</v>
      </c>
      <c r="BM32" t="s">
        <v>89</v>
      </c>
      <c r="BN32">
        <v>0.64530983333333303</v>
      </c>
      <c r="BO32" t="s">
        <v>90</v>
      </c>
    </row>
    <row r="33" spans="1:67" ht="19" x14ac:dyDescent="0.2">
      <c r="A33" s="9" t="s">
        <v>18</v>
      </c>
      <c r="B33">
        <f>[1]Plmax2!$A$1</f>
        <v>312.78235978049003</v>
      </c>
      <c r="D33" s="4">
        <v>13</v>
      </c>
      <c r="E33" s="19">
        <v>71.49778492694</v>
      </c>
      <c r="F33" s="19">
        <f>[1]Ps1!B14</f>
        <v>0</v>
      </c>
      <c r="G33" s="19">
        <f>[1]Pc1!B14</f>
        <v>399.9999999994327</v>
      </c>
      <c r="H33" s="19">
        <f>[1]Pd1!B14</f>
        <v>0</v>
      </c>
      <c r="I33" s="19">
        <f>[1]Pb2!B14</f>
        <v>429.15769126821192</v>
      </c>
      <c r="J33" s="19">
        <f>[1]Ps2!B14</f>
        <v>0</v>
      </c>
      <c r="K33" s="19">
        <f>[1]Pc2!B14</f>
        <v>645.2447042141232</v>
      </c>
      <c r="L33" s="19">
        <f>[1]Pd2!B14</f>
        <v>0</v>
      </c>
      <c r="M33" s="19">
        <f>[1]SOC1!B14</f>
        <v>885.03218614629293</v>
      </c>
      <c r="N33" s="19">
        <f>[1]SOC2!B14</f>
        <v>1202.115363787344</v>
      </c>
      <c r="O33" s="15">
        <f t="shared" si="18"/>
        <v>885.03218614629327</v>
      </c>
      <c r="P33" s="17">
        <f t="shared" si="2"/>
        <v>0</v>
      </c>
      <c r="Q33" s="17">
        <f t="shared" si="19"/>
        <v>1202.1153637873581</v>
      </c>
      <c r="R33" s="17">
        <f t="shared" si="3"/>
        <v>1.4097167877480388E-11</v>
      </c>
      <c r="S33" s="38">
        <f t="shared" si="4"/>
        <v>0</v>
      </c>
      <c r="T33" s="17">
        <f t="shared" si="5"/>
        <v>3.9593726027396997E-2</v>
      </c>
      <c r="U33" s="19">
        <f>[1]epsilon!B14</f>
        <v>3.9593726027396997E-2</v>
      </c>
      <c r="V33" s="17">
        <f t="shared" si="6"/>
        <v>6.1784373462364497E-2</v>
      </c>
      <c r="W33" s="38">
        <f t="shared" si="7"/>
        <v>2.21906474349675E-2</v>
      </c>
      <c r="X33" s="19">
        <f>[1]P12CDS!B14</f>
        <v>0</v>
      </c>
      <c r="Y33" s="19">
        <f>[1]P21CDS!B14</f>
        <v>0</v>
      </c>
      <c r="Z33" s="16">
        <f>H33+E33+$B$21*AN33-G33-F33-$B$22*AL33+Y33-X33</f>
        <v>5.6689586358515953E-10</v>
      </c>
      <c r="AA33" s="16">
        <f>L33+I33+$B$32*AN33-K33-J33-$B$33*AM33-Y33+X33</f>
        <v>1.1368683772161603E-13</v>
      </c>
      <c r="AB33">
        <f>F33*AI33-(AI33+AO33)*E33</f>
        <v>-4.417445845657876</v>
      </c>
      <c r="AC33">
        <f>J33*AI33-(AI33+AO33)*I33</f>
        <v>-26.515239071561329</v>
      </c>
      <c r="AD33" s="4">
        <f t="shared" si="8"/>
        <v>0</v>
      </c>
      <c r="AE33" s="4">
        <f t="shared" si="9"/>
        <v>0</v>
      </c>
      <c r="AF33" s="4">
        <f t="shared" si="10"/>
        <v>0</v>
      </c>
      <c r="AG33" s="4">
        <f t="shared" si="11"/>
        <v>1.7551332414225171</v>
      </c>
      <c r="AH33">
        <f t="shared" si="12"/>
        <v>17.652976839354782</v>
      </c>
      <c r="AI33" s="8">
        <f>[1]data!C13</f>
        <v>3.9593726027396997E-2</v>
      </c>
      <c r="AJ33" s="8">
        <f>[1]data!C37</f>
        <v>442.91</v>
      </c>
      <c r="AK33" s="8">
        <f>[1]data!C61</f>
        <v>561.32090000000005</v>
      </c>
      <c r="AL33" s="8">
        <f>[1]data!C85</f>
        <v>0.122847383567665</v>
      </c>
      <c r="AM33" s="8">
        <f>[1]data!C109</f>
        <v>0.91347581298363301</v>
      </c>
      <c r="AN33" s="8">
        <f>[1]data!C127</f>
        <v>0.62725766666666705</v>
      </c>
      <c r="AO33" s="8">
        <f>[1]data!C145</f>
        <v>2.21906474349675E-2</v>
      </c>
      <c r="AP33" s="26" t="s">
        <v>69</v>
      </c>
      <c r="AU33">
        <v>13</v>
      </c>
      <c r="AV33" t="s">
        <v>87</v>
      </c>
      <c r="AW33">
        <v>3.9593726027396997E-2</v>
      </c>
      <c r="AX33" s="3">
        <f t="shared" si="13"/>
        <v>0</v>
      </c>
      <c r="AY33">
        <v>0.122847383567665</v>
      </c>
      <c r="AZ33" s="3">
        <f t="shared" si="14"/>
        <v>0</v>
      </c>
      <c r="BA33">
        <v>2.21906474349675E-2</v>
      </c>
      <c r="BB33" s="3">
        <f t="shared" si="15"/>
        <v>0</v>
      </c>
      <c r="BC33">
        <v>0.62725766666666705</v>
      </c>
      <c r="BD33" s="3">
        <f t="shared" si="16"/>
        <v>0</v>
      </c>
      <c r="BF33">
        <v>13</v>
      </c>
      <c r="BG33" t="s">
        <v>87</v>
      </c>
      <c r="BH33">
        <v>3.9593726027396997E-2</v>
      </c>
      <c r="BI33" t="s">
        <v>88</v>
      </c>
      <c r="BJ33">
        <v>0.91347581298363301</v>
      </c>
      <c r="BK33" s="3">
        <f t="shared" si="17"/>
        <v>0</v>
      </c>
      <c r="BL33">
        <v>2.21906474349675E-2</v>
      </c>
      <c r="BM33" t="s">
        <v>89</v>
      </c>
      <c r="BN33">
        <v>0.62725766666666705</v>
      </c>
      <c r="BO33" t="s">
        <v>90</v>
      </c>
    </row>
    <row r="34" spans="1:67" ht="19" x14ac:dyDescent="0.2">
      <c r="A34" s="9" t="s">
        <v>19</v>
      </c>
      <c r="B34">
        <f>[1]SOC02!$A$1</f>
        <v>140</v>
      </c>
      <c r="D34" s="4">
        <v>14</v>
      </c>
      <c r="E34" s="12">
        <v>282.66161453995397</v>
      </c>
      <c r="F34" s="12">
        <f>[1]Ps1!B15</f>
        <v>0</v>
      </c>
      <c r="G34" s="12">
        <f>[1]Pc1!B15</f>
        <v>399.999999999848</v>
      </c>
      <c r="H34" s="12">
        <f>[1]Pd1!B15</f>
        <v>0</v>
      </c>
      <c r="I34" s="12">
        <f>[1]Pb2!B15</f>
        <v>561.32089999998379</v>
      </c>
      <c r="J34" s="12">
        <f>[1]Ps2!B15</f>
        <v>0</v>
      </c>
      <c r="K34" s="12">
        <f>[1]Pc2!B15</f>
        <v>738.00143675452591</v>
      </c>
      <c r="L34" s="12">
        <f>[1]Pd2!B15</f>
        <v>0</v>
      </c>
      <c r="M34" s="12">
        <f>[1]SOC1!B15</f>
        <v>1257.0321861461521</v>
      </c>
      <c r="N34" s="12">
        <f>[1]SOC2!B15</f>
        <v>1881.076685601508</v>
      </c>
      <c r="O34" s="15">
        <f t="shared" si="18"/>
        <v>1257.0321861461521</v>
      </c>
      <c r="P34" s="17">
        <f t="shared" si="2"/>
        <v>0</v>
      </c>
      <c r="Q34" s="17">
        <f t="shared" si="19"/>
        <v>1881.0766856015221</v>
      </c>
      <c r="R34" s="17">
        <f t="shared" si="3"/>
        <v>1.4097167877480388E-11</v>
      </c>
      <c r="S34" s="38">
        <f t="shared" si="4"/>
        <v>0</v>
      </c>
      <c r="T34" s="17">
        <f t="shared" si="5"/>
        <v>3.7885123287670998E-2</v>
      </c>
      <c r="U34" s="12">
        <f>[1]epsilon!B15</f>
        <v>3.7885123287670998E-2</v>
      </c>
      <c r="V34" s="17">
        <f t="shared" si="6"/>
        <v>6.0075770722638498E-2</v>
      </c>
      <c r="W34" s="38">
        <f t="shared" si="7"/>
        <v>2.21906474349675E-2</v>
      </c>
      <c r="X34" s="12">
        <f>[1]P12CDS!B15</f>
        <v>0</v>
      </c>
      <c r="Y34" s="12">
        <f>[1]P21CDS!B15</f>
        <v>0</v>
      </c>
      <c r="Z34">
        <f>H34+E34+$B$21*AN34-G34-F34-$B$22*AL34+Y34-X34</f>
        <v>1.5145928955462296E-10</v>
      </c>
      <c r="AA34">
        <f>L34+I34+$B$32*AN34-K34-J34-$B$33*AM34-Y34+X34</f>
        <v>5.6843418860808015E-14</v>
      </c>
      <c r="AB34">
        <f>F34*AI34-(AI34+AO34)*E34</f>
        <v>-16.981114347193095</v>
      </c>
      <c r="AC34">
        <f>J34*AI34-(AI34+AO34)*I34</f>
        <v>-33.721785690224117</v>
      </c>
      <c r="AD34" s="4">
        <f t="shared" si="8"/>
        <v>0</v>
      </c>
      <c r="AE34" s="4">
        <f t="shared" si="9"/>
        <v>0</v>
      </c>
      <c r="AF34" s="4">
        <f t="shared" si="10"/>
        <v>0</v>
      </c>
      <c r="AG34" s="4">
        <f t="shared" si="11"/>
        <v>12.394158191768868</v>
      </c>
      <c r="AH34">
        <f t="shared" si="12"/>
        <v>16.722655287359476</v>
      </c>
      <c r="AI34" s="8">
        <f>[1]data!C14</f>
        <v>3.7885123287670998E-2</v>
      </c>
      <c r="AJ34" s="8">
        <f>[1]data!C38</f>
        <v>442.91</v>
      </c>
      <c r="AK34" s="8">
        <f>[1]data!C62</f>
        <v>561.32090000000005</v>
      </c>
      <c r="AL34" s="8">
        <f>[1]data!C86</f>
        <v>0.89217931568864195</v>
      </c>
      <c r="AM34" s="8">
        <f>[1]data!C110</f>
        <v>0.88994595722771397</v>
      </c>
      <c r="AN34" s="8">
        <f>[1]data!C128</f>
        <v>0.56879991666666696</v>
      </c>
      <c r="AO34" s="8">
        <f>[1]data!C146</f>
        <v>2.21906474349675E-2</v>
      </c>
      <c r="AP34" s="26" t="s">
        <v>69</v>
      </c>
      <c r="AU34">
        <v>14</v>
      </c>
      <c r="AV34" t="s">
        <v>87</v>
      </c>
      <c r="AW34">
        <v>3.7885123287670998E-2</v>
      </c>
      <c r="AX34" s="3">
        <f t="shared" si="13"/>
        <v>0</v>
      </c>
      <c r="AY34">
        <v>0.89217931568864195</v>
      </c>
      <c r="AZ34" s="3">
        <f t="shared" si="14"/>
        <v>0</v>
      </c>
      <c r="BA34">
        <v>2.21906474349675E-2</v>
      </c>
      <c r="BB34" s="3">
        <f t="shared" si="15"/>
        <v>0</v>
      </c>
      <c r="BC34">
        <v>0.56879991666666696</v>
      </c>
      <c r="BD34" s="3">
        <f t="shared" si="16"/>
        <v>0</v>
      </c>
      <c r="BF34">
        <v>14</v>
      </c>
      <c r="BG34" t="s">
        <v>87</v>
      </c>
      <c r="BH34">
        <v>3.7885123287670998E-2</v>
      </c>
      <c r="BI34" t="s">
        <v>88</v>
      </c>
      <c r="BJ34">
        <v>0.88994595722771397</v>
      </c>
      <c r="BK34" s="3">
        <f t="shared" si="17"/>
        <v>0</v>
      </c>
      <c r="BL34">
        <v>2.21906474349675E-2</v>
      </c>
      <c r="BM34" t="s">
        <v>89</v>
      </c>
      <c r="BN34">
        <v>0.56879991666666696</v>
      </c>
      <c r="BO34" t="s">
        <v>90</v>
      </c>
    </row>
    <row r="35" spans="1:67" ht="19" x14ac:dyDescent="0.2">
      <c r="A35" s="9" t="s">
        <v>20</v>
      </c>
      <c r="B35">
        <f>[1]C2!$A$1</f>
        <v>2800</v>
      </c>
      <c r="D35" s="4">
        <v>15</v>
      </c>
      <c r="E35" s="12">
        <v>338.05515300000002</v>
      </c>
      <c r="F35" s="12">
        <f>[1]Ps1!B16</f>
        <v>0</v>
      </c>
      <c r="G35" s="12">
        <f>[1]Pc1!B16</f>
        <v>383.26715942794891</v>
      </c>
      <c r="H35" s="12">
        <f>[1]Pd1!B16</f>
        <v>0</v>
      </c>
      <c r="I35" s="12">
        <f>[1]Pb2!B16</f>
        <v>379.49779999961601</v>
      </c>
      <c r="J35" s="12">
        <f>[1]Ps2!B16</f>
        <v>0</v>
      </c>
      <c r="K35" s="12">
        <f>[1]Pc2!B16</f>
        <v>480.70215702923571</v>
      </c>
      <c r="L35" s="12">
        <f>[1]Pd2!B16</f>
        <v>0</v>
      </c>
      <c r="M35" s="12">
        <f>[1]SOC1!B16</f>
        <v>1613.4706444141441</v>
      </c>
      <c r="N35" s="12">
        <f>[1]SOC2!B16</f>
        <v>2323.322670068404</v>
      </c>
      <c r="O35" s="15">
        <f t="shared" si="18"/>
        <v>1613.4706444141445</v>
      </c>
      <c r="P35" s="17">
        <f t="shared" si="2"/>
        <v>0</v>
      </c>
      <c r="Q35" s="17">
        <f t="shared" si="19"/>
        <v>2323.322670068419</v>
      </c>
      <c r="R35" s="17">
        <f t="shared" si="3"/>
        <v>1.5006662579253316E-11</v>
      </c>
      <c r="S35" s="38">
        <f t="shared" si="4"/>
        <v>0</v>
      </c>
      <c r="T35" s="17">
        <f t="shared" si="5"/>
        <v>3.6840931506849001E-2</v>
      </c>
      <c r="U35" s="12">
        <f>[1]epsilon!B16</f>
        <v>3.6840931506849001E-2</v>
      </c>
      <c r="V35" s="17">
        <f t="shared" si="6"/>
        <v>5.7915302812089606E-2</v>
      </c>
      <c r="W35" s="38">
        <f t="shared" si="7"/>
        <v>2.1074371305240605E-2</v>
      </c>
      <c r="X35" s="12">
        <f>[1]P12CDS!B16</f>
        <v>0</v>
      </c>
      <c r="Y35" s="12">
        <f>[1]P21CDS!B16</f>
        <v>0</v>
      </c>
      <c r="Z35">
        <f>H35+E35+$B$21*AN35-G35-F35-$B$22*AL35+Y35-X35</f>
        <v>1.3312728697201237E-10</v>
      </c>
      <c r="AA35">
        <f>L35+I35+$B$32*AN35-K35-J35-$B$33*AM35-Y35+X35</f>
        <v>0</v>
      </c>
      <c r="AB35">
        <f>F35*AI35-(AI35+AO35)*E35</f>
        <v>-19.578566553182284</v>
      </c>
      <c r="AC35">
        <f>J35*AI35-(AI35+AO35)*I35</f>
        <v>-21.978730003499578</v>
      </c>
      <c r="AD35" s="4">
        <f t="shared" si="8"/>
        <v>0</v>
      </c>
      <c r="AE35" s="4">
        <f t="shared" si="9"/>
        <v>0</v>
      </c>
      <c r="AF35" s="4">
        <f t="shared" si="10"/>
        <v>0</v>
      </c>
      <c r="AG35" s="4">
        <f t="shared" si="11"/>
        <v>12.975447578861187</v>
      </c>
      <c r="AH35">
        <f t="shared" si="12"/>
        <v>16.063379293543203</v>
      </c>
      <c r="AI35" s="8">
        <f>[1]data!C15</f>
        <v>3.6840931506849001E-2</v>
      </c>
      <c r="AJ35" s="8">
        <f>[1]data!C39</f>
        <v>338.05515300000002</v>
      </c>
      <c r="AK35" s="8">
        <f>[1]data!C63</f>
        <v>379.49779999999998</v>
      </c>
      <c r="AL35" s="8">
        <f>[1]data!C87</f>
        <v>0.968865480059381</v>
      </c>
      <c r="AM35" s="8">
        <f>[1]data!C111</f>
        <v>0.88675027314529797</v>
      </c>
      <c r="AN35" s="8">
        <f>[1]data!C129</f>
        <v>0.47320525000000002</v>
      </c>
      <c r="AO35" s="8">
        <f>[1]data!C147</f>
        <v>2.1074371305240602E-2</v>
      </c>
      <c r="AP35" s="24" t="s">
        <v>67</v>
      </c>
      <c r="AU35">
        <v>15</v>
      </c>
      <c r="AV35" t="s">
        <v>87</v>
      </c>
      <c r="AW35">
        <v>3.6840931506849001E-2</v>
      </c>
      <c r="AX35" s="3">
        <f t="shared" si="13"/>
        <v>0</v>
      </c>
      <c r="AY35">
        <v>0.968865480059381</v>
      </c>
      <c r="AZ35" s="3">
        <f t="shared" si="14"/>
        <v>0</v>
      </c>
      <c r="BA35">
        <v>2.1074371305240602E-2</v>
      </c>
      <c r="BB35" s="3">
        <f t="shared" si="15"/>
        <v>0</v>
      </c>
      <c r="BC35">
        <v>0.47320525000000002</v>
      </c>
      <c r="BD35" s="3">
        <f t="shared" si="16"/>
        <v>0</v>
      </c>
      <c r="BF35">
        <v>15</v>
      </c>
      <c r="BG35" t="s">
        <v>87</v>
      </c>
      <c r="BH35">
        <v>3.6840931506849001E-2</v>
      </c>
      <c r="BI35" t="s">
        <v>88</v>
      </c>
      <c r="BJ35">
        <v>0.88675027314529797</v>
      </c>
      <c r="BK35" s="3">
        <f t="shared" si="17"/>
        <v>0</v>
      </c>
      <c r="BL35">
        <v>2.1074371305240602E-2</v>
      </c>
      <c r="BM35" t="s">
        <v>89</v>
      </c>
      <c r="BN35">
        <v>0.47320525000000002</v>
      </c>
      <c r="BO35" t="s">
        <v>90</v>
      </c>
    </row>
    <row r="36" spans="1:67" ht="19" x14ac:dyDescent="0.2">
      <c r="A36" s="9" t="s">
        <v>21</v>
      </c>
      <c r="B36">
        <f>[1]eff_c2!$A$1</f>
        <v>0.92</v>
      </c>
      <c r="D36" s="4">
        <v>16</v>
      </c>
      <c r="E36" s="12">
        <v>338.05515300000002</v>
      </c>
      <c r="F36" s="12">
        <f>[1]Ps1!B17</f>
        <v>0</v>
      </c>
      <c r="G36" s="12">
        <f>[1]Pc1!B17</f>
        <v>308.09608127509841</v>
      </c>
      <c r="H36" s="12">
        <f>[1]Pd1!B17</f>
        <v>0</v>
      </c>
      <c r="I36" s="12">
        <f>[1]Pb2!B17</f>
        <v>379.49779999948788</v>
      </c>
      <c r="J36" s="12">
        <f>[1]Ps2!B17</f>
        <v>0</v>
      </c>
      <c r="K36" s="12">
        <f>[1]Pc2!B17</f>
        <v>365.95361949085458</v>
      </c>
      <c r="L36" s="12">
        <f>[1]Pd2!B17</f>
        <v>0</v>
      </c>
      <c r="M36" s="12">
        <f>[1]SOC1!B17</f>
        <v>1899.999999999985</v>
      </c>
      <c r="N36" s="12">
        <f>[1]SOC2!B17</f>
        <v>2659.99999999999</v>
      </c>
      <c r="O36" s="15">
        <f t="shared" si="18"/>
        <v>1899.9999999999861</v>
      </c>
      <c r="P36" s="17">
        <f t="shared" si="2"/>
        <v>0</v>
      </c>
      <c r="Q36" s="17">
        <f t="shared" si="19"/>
        <v>2660.0000000000055</v>
      </c>
      <c r="R36" s="17">
        <f t="shared" si="3"/>
        <v>1.546140993013978E-11</v>
      </c>
      <c r="S36" s="38">
        <f t="shared" si="4"/>
        <v>0</v>
      </c>
      <c r="T36" s="17">
        <f t="shared" si="5"/>
        <v>3.8253698630137001E-2</v>
      </c>
      <c r="U36" s="12">
        <f>[1]epsilon!B17</f>
        <v>3.8253698630137001E-2</v>
      </c>
      <c r="V36" s="17">
        <f t="shared" si="6"/>
        <v>5.9328069935377606E-2</v>
      </c>
      <c r="W36" s="38">
        <f t="shared" si="7"/>
        <v>2.1074371305240605E-2</v>
      </c>
      <c r="X36" s="12">
        <f>[1]P12CDS!B17</f>
        <v>0</v>
      </c>
      <c r="Y36" s="12">
        <f>[1]P21CDS!B17</f>
        <v>0</v>
      </c>
      <c r="Z36">
        <f>H36+E36+$B$21*AN36-G36-F36-$B$22*AL36+Y36-X36</f>
        <v>1.617195266589988E-11</v>
      </c>
      <c r="AA36">
        <f>L36+I36+$B$32*AN36-K36-J36-$B$33*AM36-Y36+X36</f>
        <v>-3.2969182939268649E-12</v>
      </c>
      <c r="AB36">
        <f>F36*AI36-(AI36+AO36)*E36</f>
        <v>-20.056159759198778</v>
      </c>
      <c r="AC36">
        <f>J36*AI36-(AI36+AO36)*I36</f>
        <v>-22.514872018691559</v>
      </c>
      <c r="AD36" s="4">
        <f t="shared" si="8"/>
        <v>0</v>
      </c>
      <c r="AE36" s="4">
        <f t="shared" si="9"/>
        <v>0</v>
      </c>
      <c r="AF36" s="4">
        <f t="shared" si="10"/>
        <v>0</v>
      </c>
      <c r="AG36" s="4">
        <f t="shared" si="11"/>
        <v>13.159198347666763</v>
      </c>
      <c r="AH36">
        <f t="shared" si="12"/>
        <v>16.806058974442582</v>
      </c>
      <c r="AI36" s="8">
        <f>[1]data!C16</f>
        <v>3.8253698630137001E-2</v>
      </c>
      <c r="AJ36" s="8">
        <f>[1]data!C40</f>
        <v>338.05515300000002</v>
      </c>
      <c r="AK36" s="8">
        <f>[1]data!C64</f>
        <v>379.49779999999998</v>
      </c>
      <c r="AL36" s="8">
        <f>[1]data!C88</f>
        <v>0.95918787343118705</v>
      </c>
      <c r="AM36" s="8">
        <f>[1]data!C112</f>
        <v>0.90565629737166398</v>
      </c>
      <c r="AN36" s="8">
        <f>[1]data!C130</f>
        <v>0.33716141666666699</v>
      </c>
      <c r="AO36" s="8">
        <f>[1]data!C148</f>
        <v>2.1074371305240602E-2</v>
      </c>
      <c r="AP36" s="24" t="s">
        <v>67</v>
      </c>
      <c r="AU36">
        <v>16</v>
      </c>
      <c r="AV36" t="s">
        <v>87</v>
      </c>
      <c r="AW36">
        <v>3.8253698630137001E-2</v>
      </c>
      <c r="AX36" s="3">
        <f t="shared" si="13"/>
        <v>0</v>
      </c>
      <c r="AY36">
        <v>0.95918787343118705</v>
      </c>
      <c r="AZ36" s="3">
        <f t="shared" si="14"/>
        <v>0</v>
      </c>
      <c r="BA36">
        <v>2.1074371305240602E-2</v>
      </c>
      <c r="BB36" s="3">
        <f t="shared" si="15"/>
        <v>0</v>
      </c>
      <c r="BC36">
        <v>0.33716141666666699</v>
      </c>
      <c r="BD36" s="3">
        <f t="shared" si="16"/>
        <v>0</v>
      </c>
      <c r="BF36">
        <v>16</v>
      </c>
      <c r="BG36" t="s">
        <v>87</v>
      </c>
      <c r="BH36">
        <v>3.8253698630137001E-2</v>
      </c>
      <c r="BI36" t="s">
        <v>88</v>
      </c>
      <c r="BJ36">
        <v>0.90565629737166398</v>
      </c>
      <c r="BK36" s="3">
        <f t="shared" si="17"/>
        <v>0</v>
      </c>
      <c r="BL36">
        <v>2.1074371305240602E-2</v>
      </c>
      <c r="BM36" t="s">
        <v>89</v>
      </c>
      <c r="BN36">
        <v>0.33716141666666699</v>
      </c>
      <c r="BO36" t="s">
        <v>90</v>
      </c>
    </row>
    <row r="37" spans="1:67" ht="19" x14ac:dyDescent="0.2">
      <c r="A37" s="9" t="s">
        <v>22</v>
      </c>
      <c r="B37">
        <f>[1]eff_d2!$A$1</f>
        <v>0.95</v>
      </c>
      <c r="D37" s="4">
        <v>17</v>
      </c>
      <c r="E37" s="12">
        <v>111.756307514841</v>
      </c>
      <c r="F37" s="12">
        <f>[1]Ps1!B18</f>
        <v>0</v>
      </c>
      <c r="G37" s="12">
        <f>[1]Pc1!B18</f>
        <v>0</v>
      </c>
      <c r="H37" s="12">
        <f>[1]Pd1!B18</f>
        <v>2.7909677715633189E-11</v>
      </c>
      <c r="I37" s="12">
        <f>[1]Pb2!B18</f>
        <v>118.7279734146816</v>
      </c>
      <c r="J37" s="12">
        <f>[1]Ps2!B18</f>
        <v>0</v>
      </c>
      <c r="K37" s="12">
        <f>[1]Pc2!B18</f>
        <v>0</v>
      </c>
      <c r="L37" s="12">
        <f>[1]Pd2!B18</f>
        <v>1.941812014053532E-11</v>
      </c>
      <c r="M37" s="12">
        <f>[1]SOC1!B18</f>
        <v>1899.999999999957</v>
      </c>
      <c r="N37" s="12">
        <f>[1]SOC2!B18</f>
        <v>2659.99999999997</v>
      </c>
      <c r="O37" s="15">
        <f t="shared" si="18"/>
        <v>1899.9999999999573</v>
      </c>
      <c r="P37" s="17">
        <f t="shared" si="2"/>
        <v>0</v>
      </c>
      <c r="Q37" s="17">
        <f t="shared" si="19"/>
        <v>2659.999999999985</v>
      </c>
      <c r="R37" s="17">
        <f t="shared" si="3"/>
        <v>1.5006662579253316E-11</v>
      </c>
      <c r="S37" s="38">
        <f t="shared" si="4"/>
        <v>0</v>
      </c>
      <c r="T37" s="17">
        <f t="shared" si="5"/>
        <v>4.6423205479452001E-2</v>
      </c>
      <c r="U37" s="12">
        <f>[1]epsilon!B18</f>
        <v>4.6423205479452001E-2</v>
      </c>
      <c r="V37" s="17">
        <f t="shared" si="6"/>
        <v>6.7497576784692606E-2</v>
      </c>
      <c r="W37" s="38">
        <f t="shared" si="7"/>
        <v>2.1074371305240605E-2</v>
      </c>
      <c r="X37" s="12">
        <f>[1]P12CDS!B18</f>
        <v>0</v>
      </c>
      <c r="Y37" s="12">
        <f>[1]P21CDS!B18</f>
        <v>0</v>
      </c>
      <c r="Z37">
        <f>H37+E37+$B$21*AN37-G37-F37-$B$22*AL37+Y37-X37</f>
        <v>2.8336444302112795E-11</v>
      </c>
      <c r="AA37">
        <f>L37+I37+$B$32*AN37-K37-J37-$B$33*AM37-Y37+X37</f>
        <v>1.1368683772161603E-13</v>
      </c>
      <c r="AB37">
        <f>F37*AI37-(AI37+AO37)*E37</f>
        <v>-7.5432799476566998</v>
      </c>
      <c r="AC37">
        <f>J37*AI37-(AI37+AO37)*I37</f>
        <v>-8.0138505020484132</v>
      </c>
      <c r="AD37" s="4">
        <f t="shared" si="8"/>
        <v>0</v>
      </c>
      <c r="AE37" s="4">
        <f t="shared" si="9"/>
        <v>0</v>
      </c>
      <c r="AF37" s="4">
        <f t="shared" si="10"/>
        <v>0</v>
      </c>
      <c r="AG37" s="4">
        <f t="shared" si="11"/>
        <v>14.785525421057475</v>
      </c>
      <c r="AH37">
        <f t="shared" si="12"/>
        <v>18.196269445319739</v>
      </c>
      <c r="AI37" s="8">
        <f>[1]data!C17</f>
        <v>4.6423205479452001E-2</v>
      </c>
      <c r="AJ37" s="8">
        <f>[1]data!C41</f>
        <v>338.05515300000002</v>
      </c>
      <c r="AK37" s="8">
        <f>[1]data!C65</f>
        <v>379.49779999999998</v>
      </c>
      <c r="AL37" s="8">
        <f>[1]data!C89</f>
        <v>0.94729020616541304</v>
      </c>
      <c r="AM37" s="8">
        <f>[1]data!C113</f>
        <v>0.86189016628227</v>
      </c>
      <c r="AN37" s="8">
        <f>[1]data!C131</f>
        <v>0.188570083333333</v>
      </c>
      <c r="AO37" s="8">
        <f>[1]data!C149</f>
        <v>2.1074371305240602E-2</v>
      </c>
      <c r="AP37" s="24" t="s">
        <v>67</v>
      </c>
      <c r="AU37">
        <v>17</v>
      </c>
      <c r="AV37" t="s">
        <v>87</v>
      </c>
      <c r="AW37">
        <v>4.6423205479452001E-2</v>
      </c>
      <c r="AX37" s="3">
        <f t="shared" si="13"/>
        <v>0</v>
      </c>
      <c r="AY37">
        <v>0.94729020616541304</v>
      </c>
      <c r="AZ37" s="3">
        <f t="shared" si="14"/>
        <v>0</v>
      </c>
      <c r="BA37">
        <v>2.1074371305240602E-2</v>
      </c>
      <c r="BB37" s="3">
        <f t="shared" si="15"/>
        <v>0</v>
      </c>
      <c r="BC37">
        <v>0.188570083333333</v>
      </c>
      <c r="BD37" s="3">
        <f t="shared" si="16"/>
        <v>0</v>
      </c>
      <c r="BF37">
        <v>17</v>
      </c>
      <c r="BG37" t="s">
        <v>87</v>
      </c>
      <c r="BH37">
        <v>4.6423205479452001E-2</v>
      </c>
      <c r="BI37" t="s">
        <v>88</v>
      </c>
      <c r="BJ37">
        <v>0.86189016628227</v>
      </c>
      <c r="BK37" s="3">
        <f t="shared" si="17"/>
        <v>0</v>
      </c>
      <c r="BL37">
        <v>2.1074371305240602E-2</v>
      </c>
      <c r="BM37" t="s">
        <v>89</v>
      </c>
      <c r="BN37">
        <v>0.188570083333333</v>
      </c>
      <c r="BO37" t="s">
        <v>90</v>
      </c>
    </row>
    <row r="38" spans="1:67" ht="19" x14ac:dyDescent="0.2">
      <c r="A38" s="9" t="s">
        <v>23</v>
      </c>
      <c r="B38">
        <f>[1]R_c2!$A$1</f>
        <v>0.3</v>
      </c>
      <c r="D38" s="4">
        <v>18</v>
      </c>
      <c r="E38" s="12">
        <v>124.92077108333299</v>
      </c>
      <c r="F38" s="12">
        <f>[1]Ps1!B19</f>
        <v>0</v>
      </c>
      <c r="G38" s="12">
        <f>[1]Pc1!B19</f>
        <v>0</v>
      </c>
      <c r="H38" s="12">
        <f>[1]Pd1!B19</f>
        <v>2.7089656772123771E-9</v>
      </c>
      <c r="I38" s="12">
        <f>[1]Pb2!B19</f>
        <v>184.6729571081207</v>
      </c>
      <c r="J38" s="12">
        <f>[1]Ps2!B19</f>
        <v>0</v>
      </c>
      <c r="K38" s="12">
        <f>[1]Pc2!B19</f>
        <v>0</v>
      </c>
      <c r="L38" s="12">
        <f>[1]Pd2!B19</f>
        <v>8.8216592261354879E-11</v>
      </c>
      <c r="M38" s="12">
        <f>[1]SOC1!B19</f>
        <v>1899.999999997164</v>
      </c>
      <c r="N38" s="12">
        <f>[1]SOC2!B19</f>
        <v>2659.9999999998772</v>
      </c>
      <c r="O38" s="15">
        <f t="shared" si="18"/>
        <v>1899.9999999971644</v>
      </c>
      <c r="P38" s="17">
        <f t="shared" si="2"/>
        <v>0</v>
      </c>
      <c r="Q38" s="17">
        <f t="shared" si="19"/>
        <v>2659.9999999998922</v>
      </c>
      <c r="R38" s="17">
        <f t="shared" si="3"/>
        <v>1.5006662579253316E-11</v>
      </c>
      <c r="S38" s="38">
        <f t="shared" si="4"/>
        <v>0</v>
      </c>
      <c r="T38" s="17">
        <f t="shared" si="5"/>
        <v>5.9484767123287999E-2</v>
      </c>
      <c r="U38" s="12">
        <f>[1]epsilon!B19</f>
        <v>5.9484767123287999E-2</v>
      </c>
      <c r="V38" s="17">
        <f t="shared" si="6"/>
        <v>8.0559138428528604E-2</v>
      </c>
      <c r="W38" s="38">
        <f t="shared" si="7"/>
        <v>2.1074371305240605E-2</v>
      </c>
      <c r="X38" s="12">
        <f>[1]P12CDS!B19</f>
        <v>0</v>
      </c>
      <c r="Y38" s="12">
        <f>[1]P21CDS!B19</f>
        <v>0</v>
      </c>
      <c r="Z38">
        <f>H38+E38+$B$21*AN38-G38-F38-$B$22*AL38+Y38-X38</f>
        <v>2.7085604870080715E-9</v>
      </c>
      <c r="AA38">
        <f>L38+I38+$B$32*AN38-K38-J38-$B$33*AM38-Y38+X38</f>
        <v>3.694822225952521E-13</v>
      </c>
      <c r="AB38">
        <f>F38*AI38-(AI38+AO38)*E38</f>
        <v>-10.063509690300755</v>
      </c>
      <c r="AC38">
        <f>J38*AI38-(AI38+AO38)*I38</f>
        <v>-14.877094315678821</v>
      </c>
      <c r="AD38" s="4">
        <f t="shared" si="8"/>
        <v>0</v>
      </c>
      <c r="AE38" s="4">
        <f t="shared" si="9"/>
        <v>0</v>
      </c>
      <c r="AF38" s="4">
        <f t="shared" si="10"/>
        <v>0</v>
      </c>
      <c r="AG38" s="4">
        <f t="shared" si="11"/>
        <v>12.058091839982152</v>
      </c>
      <c r="AH38">
        <f t="shared" si="12"/>
        <v>17.681427742302926</v>
      </c>
      <c r="AI38" s="8">
        <f>[1]data!C18</f>
        <v>5.9484767123287999E-2</v>
      </c>
      <c r="AJ38" s="8">
        <f>[1]data!C42</f>
        <v>338.05515300000002</v>
      </c>
      <c r="AK38" s="8">
        <f>[1]data!C66</f>
        <v>379.49779999999998</v>
      </c>
      <c r="AL38" s="8">
        <f>[1]data!C90</f>
        <v>0.64728902137480604</v>
      </c>
      <c r="AM38" s="8">
        <f>[1]data!C114</f>
        <v>0.70171420130249096</v>
      </c>
      <c r="AN38" s="8">
        <f>[1]data!C132</f>
        <v>4.3513583333333002E-2</v>
      </c>
      <c r="AO38" s="8">
        <f>[1]data!C150</f>
        <v>2.1074371305240602E-2</v>
      </c>
      <c r="AP38" s="24" t="s">
        <v>67</v>
      </c>
      <c r="AU38">
        <v>18</v>
      </c>
      <c r="AV38" t="s">
        <v>87</v>
      </c>
      <c r="AW38">
        <v>5.9484767123287999E-2</v>
      </c>
      <c r="AX38" s="3">
        <f t="shared" si="13"/>
        <v>0</v>
      </c>
      <c r="AY38">
        <v>0.64728902137480604</v>
      </c>
      <c r="AZ38" s="3">
        <f t="shared" si="14"/>
        <v>0</v>
      </c>
      <c r="BA38">
        <v>2.1074371305240602E-2</v>
      </c>
      <c r="BB38" s="3">
        <f t="shared" si="15"/>
        <v>0</v>
      </c>
      <c r="BC38">
        <v>4.3513583333333002E-2</v>
      </c>
      <c r="BD38" s="3">
        <f t="shared" si="16"/>
        <v>0</v>
      </c>
      <c r="BF38">
        <v>18</v>
      </c>
      <c r="BG38" t="s">
        <v>87</v>
      </c>
      <c r="BH38">
        <v>5.9484767123287999E-2</v>
      </c>
      <c r="BI38" t="s">
        <v>88</v>
      </c>
      <c r="BJ38">
        <v>0.70171420130249096</v>
      </c>
      <c r="BK38" s="3">
        <f t="shared" si="17"/>
        <v>0</v>
      </c>
      <c r="BL38">
        <v>2.1074371305240602E-2</v>
      </c>
      <c r="BM38" t="s">
        <v>89</v>
      </c>
      <c r="BN38">
        <v>4.3513583333333002E-2</v>
      </c>
      <c r="BO38" t="s">
        <v>90</v>
      </c>
    </row>
    <row r="39" spans="1:67" ht="19" x14ac:dyDescent="0.2">
      <c r="A39" s="9" t="s">
        <v>24</v>
      </c>
      <c r="B39">
        <f>[1]R_d2!$A$1</f>
        <v>0.3</v>
      </c>
      <c r="D39" s="4">
        <v>19</v>
      </c>
      <c r="E39" s="12">
        <v>0</v>
      </c>
      <c r="F39" s="12">
        <f>[1]Ps1!B20</f>
        <v>1.9602235814901971E-10</v>
      </c>
      <c r="G39" s="12">
        <f>[1]Pc1!B20</f>
        <v>0</v>
      </c>
      <c r="H39" s="12">
        <f>[1]Pd1!B20</f>
        <v>198.91109019545269</v>
      </c>
      <c r="I39" s="12">
        <f>[1]Pb2!B20</f>
        <v>0</v>
      </c>
      <c r="J39" s="12">
        <f>[1]Ps2!B20</f>
        <v>7.0403694023756999E-11</v>
      </c>
      <c r="K39" s="12">
        <f>[1]Pc2!B20</f>
        <v>0</v>
      </c>
      <c r="L39" s="12">
        <f>[1]Pd2!B20</f>
        <v>56.169909887058722</v>
      </c>
      <c r="M39" s="12">
        <f>[1]SOC1!B20</f>
        <v>1694.9370204142231</v>
      </c>
      <c r="N39" s="12">
        <f>[1]SOC2!B20</f>
        <v>2600.8737790661312</v>
      </c>
      <c r="O39" s="15">
        <f t="shared" si="18"/>
        <v>1694.9370204142235</v>
      </c>
      <c r="P39" s="17">
        <f t="shared" si="2"/>
        <v>0</v>
      </c>
      <c r="Q39" s="17">
        <f t="shared" si="19"/>
        <v>2600.8737790661462</v>
      </c>
      <c r="R39" s="17">
        <f t="shared" si="3"/>
        <v>1.5006662579253316E-11</v>
      </c>
      <c r="S39" s="38">
        <f t="shared" si="4"/>
        <v>1.6924795858100555E-2</v>
      </c>
      <c r="T39" s="17">
        <f t="shared" si="5"/>
        <v>7.6155178082191993E-2</v>
      </c>
      <c r="U39" s="12">
        <f>[1]epsilon!B20</f>
        <v>9.3079973940292549E-2</v>
      </c>
      <c r="V39" s="17">
        <f t="shared" si="6"/>
        <v>0.14818966352840399</v>
      </c>
      <c r="W39" s="38">
        <f t="shared" si="7"/>
        <v>5.5109689588111438E-2</v>
      </c>
      <c r="X39" s="12">
        <f>[1]P12CDS!B20</f>
        <v>53.698761428133572</v>
      </c>
      <c r="Y39" s="12">
        <f>[1]P21CDS!B20</f>
        <v>0</v>
      </c>
      <c r="Z39">
        <f>H39+E39+$B$21*AN39-G39-F39-$B$22*AL39+Y39-X39</f>
        <v>1.9184653865522705E-13</v>
      </c>
      <c r="AA39">
        <f>L39+I39+$B$32*AN39-K39-J39-$B$33*AM39-Y39+X39</f>
        <v>0</v>
      </c>
      <c r="AB39">
        <f>F39*AI39-(AI39+AO39)*E39</f>
        <v>1.4928117592929815E-11</v>
      </c>
      <c r="AC39">
        <f>J39*AI39-(AI39+AO39)*I39</f>
        <v>5.3616058560233703E-12</v>
      </c>
      <c r="AD39" s="4">
        <f t="shared" si="8"/>
        <v>4.9311558625714929</v>
      </c>
      <c r="AE39" s="4">
        <f t="shared" si="9"/>
        <v>-5.1996496697121604</v>
      </c>
      <c r="AF39" s="4">
        <f t="shared" si="10"/>
        <v>0.26849380714066789</v>
      </c>
      <c r="AG39" s="4">
        <f t="shared" si="11"/>
        <v>21.51896614017592</v>
      </c>
      <c r="AH39">
        <f t="shared" si="12"/>
        <v>16.281401434500722</v>
      </c>
      <c r="AI39" s="8">
        <f>[1]data!C19</f>
        <v>7.6155178082191993E-2</v>
      </c>
      <c r="AJ39" s="8">
        <f>[1]data!C43</f>
        <v>504.43</v>
      </c>
      <c r="AK39" s="8">
        <f>[1]data!C67</f>
        <v>408.15429999999998</v>
      </c>
      <c r="AL39" s="8">
        <f>[1]data!C91</f>
        <v>0.62796864096223703</v>
      </c>
      <c r="AM39" s="8">
        <f>[1]data!C115</f>
        <v>0.35126236464303001</v>
      </c>
      <c r="AO39" s="8">
        <f>[1]data!C151</f>
        <v>7.2034485446211993E-2</v>
      </c>
      <c r="AP39" s="27" t="s">
        <v>70</v>
      </c>
      <c r="AQ39">
        <f>kappaP1*AJ39</f>
        <v>14523.482984099999</v>
      </c>
      <c r="AR39">
        <f>kappaP1*AK39</f>
        <v>11751.525545540999</v>
      </c>
      <c r="AU39">
        <v>19</v>
      </c>
      <c r="AV39" t="s">
        <v>87</v>
      </c>
      <c r="AW39">
        <v>7.6155178082191993E-2</v>
      </c>
      <c r="AX39" s="3">
        <f t="shared" si="13"/>
        <v>0</v>
      </c>
      <c r="AY39">
        <v>0.62796864096223703</v>
      </c>
      <c r="AZ39" s="3">
        <f t="shared" si="14"/>
        <v>0</v>
      </c>
      <c r="BA39">
        <v>7.2034485446211993E-2</v>
      </c>
      <c r="BB39" s="3">
        <f t="shared" si="15"/>
        <v>0</v>
      </c>
      <c r="BC39">
        <v>0</v>
      </c>
      <c r="BD39" s="3">
        <f t="shared" si="16"/>
        <v>0</v>
      </c>
      <c r="BF39">
        <v>19</v>
      </c>
      <c r="BG39" t="s">
        <v>87</v>
      </c>
      <c r="BH39">
        <v>7.6155178082191993E-2</v>
      </c>
      <c r="BI39" t="s">
        <v>88</v>
      </c>
      <c r="BJ39">
        <v>0.35126236464303001</v>
      </c>
      <c r="BK39" s="3">
        <f t="shared" si="17"/>
        <v>0</v>
      </c>
      <c r="BL39">
        <v>7.2034485446211993E-2</v>
      </c>
      <c r="BM39" t="s">
        <v>89</v>
      </c>
      <c r="BN39">
        <v>0</v>
      </c>
      <c r="BO39" t="s">
        <v>90</v>
      </c>
    </row>
    <row r="40" spans="1:67" ht="19" x14ac:dyDescent="0.2">
      <c r="A40" s="9" t="s">
        <v>25</v>
      </c>
      <c r="B40">
        <f>[1]DoD2!$A$1</f>
        <v>0.9</v>
      </c>
      <c r="D40" s="4">
        <v>20</v>
      </c>
      <c r="E40" s="12">
        <v>0</v>
      </c>
      <c r="F40" s="12">
        <f>[1]Ps1!B21</f>
        <v>247.5343287671086</v>
      </c>
      <c r="G40" s="12">
        <f>[1]Pc1!B21</f>
        <v>0</v>
      </c>
      <c r="H40" s="12">
        <f>[1]Pd1!B21</f>
        <v>399.9999999999859</v>
      </c>
      <c r="I40" s="12">
        <f>[1]Pb2!B21</f>
        <v>0</v>
      </c>
      <c r="J40" s="12">
        <f>[1]Ps2!B21</f>
        <v>649.99999999980969</v>
      </c>
      <c r="K40" s="12">
        <f>[1]Pc2!B21</f>
        <v>0</v>
      </c>
      <c r="L40" s="12">
        <f>[1]Pd2!B21</f>
        <v>755.98331705306884</v>
      </c>
      <c r="M40" s="12">
        <f>[1]SOC1!B21</f>
        <v>1282.5658863936189</v>
      </c>
      <c r="N40" s="12">
        <f>[1]SOC2!B21</f>
        <v>1805.1018663786899</v>
      </c>
      <c r="O40" s="15">
        <f t="shared" si="18"/>
        <v>1282.5658863936196</v>
      </c>
      <c r="P40" s="17">
        <f t="shared" si="2"/>
        <v>0</v>
      </c>
      <c r="Q40" s="17">
        <f t="shared" si="19"/>
        <v>1805.1018663787054</v>
      </c>
      <c r="R40" s="17">
        <f t="shared" si="3"/>
        <v>1.546140993013978E-11</v>
      </c>
      <c r="S40" s="38">
        <f t="shared" si="4"/>
        <v>0</v>
      </c>
      <c r="T40" s="17">
        <f t="shared" si="5"/>
        <v>9.0286438356163998E-2</v>
      </c>
      <c r="U40" s="12">
        <f>[1]epsilon!B21</f>
        <v>9.0286438356163998E-2</v>
      </c>
      <c r="V40" s="17">
        <f t="shared" si="6"/>
        <v>0.141504682517958</v>
      </c>
      <c r="W40" s="38">
        <f t="shared" si="7"/>
        <v>5.1218244161794005E-2</v>
      </c>
      <c r="X40" s="12">
        <f>[1]P12CDS!B21</f>
        <v>0</v>
      </c>
      <c r="Y40" s="12">
        <f>[1]P21CDS!B21</f>
        <v>0</v>
      </c>
      <c r="Z40">
        <f>H40+E40+$B$21*AN40-G40-F40-$B$22*AL40+Y40-X40</f>
        <v>2.2737367544323206E-13</v>
      </c>
      <c r="AA40">
        <f>L40+I40+$B$32*AN40-K40-J40-$B$33*AM40-Y40+X40</f>
        <v>1.4210854715202004E-14</v>
      </c>
      <c r="AB40">
        <f>F40*AI40-(AI40+AO40)*E40</f>
        <v>22.348992915265985</v>
      </c>
      <c r="AC40">
        <f>J40*AI40-(AI40+AO40)*I40</f>
        <v>58.686184931489414</v>
      </c>
      <c r="AD40" s="4">
        <f t="shared" si="8"/>
        <v>0</v>
      </c>
      <c r="AE40" s="4">
        <f t="shared" si="9"/>
        <v>0</v>
      </c>
      <c r="AF40" s="4">
        <f t="shared" si="10"/>
        <v>0</v>
      </c>
      <c r="AG40" s="4">
        <f t="shared" si="11"/>
        <v>21.574606402695633</v>
      </c>
      <c r="AH40">
        <f t="shared" si="12"/>
        <v>14.99713563182152</v>
      </c>
      <c r="AI40" s="8">
        <f>[1]data!C20</f>
        <v>9.0286438356163998E-2</v>
      </c>
      <c r="AJ40" s="8">
        <f>[1]data!C44</f>
        <v>453.96686699999998</v>
      </c>
      <c r="AK40" s="8">
        <f>[1]data!C68</f>
        <v>437.71230000000003</v>
      </c>
      <c r="AL40" s="8">
        <f>[1]data!C92</f>
        <v>0.65933561681976205</v>
      </c>
      <c r="AM40" s="8">
        <f>[1]data!C116</f>
        <v>0.33884045483779202</v>
      </c>
      <c r="AN40" s="8"/>
      <c r="AO40" s="8">
        <f>[1]data!C152</f>
        <v>5.1218244161793998E-2</v>
      </c>
      <c r="AP40" s="28" t="s">
        <v>71</v>
      </c>
      <c r="AQ40">
        <f>kappaP2*AJ40</f>
        <v>6844.7489925538803</v>
      </c>
      <c r="AR40">
        <f>kappaP2*AK40</f>
        <v>6599.6684829720007</v>
      </c>
      <c r="AU40">
        <v>20</v>
      </c>
      <c r="AV40" t="s">
        <v>87</v>
      </c>
      <c r="AW40">
        <v>9.0286438356163998E-2</v>
      </c>
      <c r="AX40" s="3">
        <f t="shared" si="13"/>
        <v>0</v>
      </c>
      <c r="AY40">
        <v>0.65933561681976205</v>
      </c>
      <c r="AZ40" s="3">
        <f t="shared" si="14"/>
        <v>0</v>
      </c>
      <c r="BA40">
        <v>5.1218244161793998E-2</v>
      </c>
      <c r="BB40" s="3">
        <f t="shared" si="15"/>
        <v>0</v>
      </c>
      <c r="BC40">
        <v>0</v>
      </c>
      <c r="BD40" s="3">
        <f t="shared" si="16"/>
        <v>0</v>
      </c>
      <c r="BF40">
        <v>20</v>
      </c>
      <c r="BG40" t="s">
        <v>87</v>
      </c>
      <c r="BH40">
        <v>9.0286438356163998E-2</v>
      </c>
      <c r="BI40" t="s">
        <v>88</v>
      </c>
      <c r="BJ40">
        <v>0.33884045483779202</v>
      </c>
      <c r="BK40" s="3">
        <f t="shared" si="17"/>
        <v>0</v>
      </c>
      <c r="BL40">
        <v>5.1218244161793998E-2</v>
      </c>
      <c r="BM40" t="s">
        <v>89</v>
      </c>
      <c r="BN40">
        <v>0</v>
      </c>
      <c r="BO40" t="s">
        <v>90</v>
      </c>
    </row>
    <row r="41" spans="1:67" ht="19" x14ac:dyDescent="0.2">
      <c r="A41" s="9" t="s">
        <v>26</v>
      </c>
      <c r="B41">
        <f>[1]Pmax2!$A$1</f>
        <v>650</v>
      </c>
      <c r="D41" s="4">
        <v>21</v>
      </c>
      <c r="E41" s="12">
        <v>0</v>
      </c>
      <c r="F41" s="12">
        <f>[1]Ps1!B22</f>
        <v>356.21758756466409</v>
      </c>
      <c r="G41" s="12">
        <f>[1]Pc1!B22</f>
        <v>0</v>
      </c>
      <c r="H41" s="12">
        <f>[1]Pd1!B22</f>
        <v>399.99999999997777</v>
      </c>
      <c r="I41" s="12">
        <f>[1]Pb2!B22</f>
        <v>0</v>
      </c>
      <c r="J41" s="12">
        <f>[1]Ps2!B22</f>
        <v>649.99999999998647</v>
      </c>
      <c r="K41" s="12">
        <f>[1]Pc2!B22</f>
        <v>0</v>
      </c>
      <c r="L41" s="12">
        <f>[1]Pd2!B22</f>
        <v>839.99999999998647</v>
      </c>
      <c r="M41" s="12">
        <f>[1]SOC1!B22</f>
        <v>870.19475237302299</v>
      </c>
      <c r="N41" s="12">
        <f>[1]SOC2!B22</f>
        <v>920.89134006291476</v>
      </c>
      <c r="O41" s="15">
        <f t="shared" si="18"/>
        <v>870.1947523730239</v>
      </c>
      <c r="P41" s="17">
        <f t="shared" si="2"/>
        <v>9.0949470177292824E-13</v>
      </c>
      <c r="Q41" s="17">
        <f t="shared" si="19"/>
        <v>920.89134006293011</v>
      </c>
      <c r="R41" s="17">
        <f t="shared" si="3"/>
        <v>1.5347723092418164E-11</v>
      </c>
      <c r="S41" s="38">
        <f t="shared" si="4"/>
        <v>3.8672337685754607E-2</v>
      </c>
      <c r="T41" s="17">
        <f t="shared" si="5"/>
        <v>9.9023506849315004E-2</v>
      </c>
      <c r="U41" s="12">
        <f>[1]epsilon!B22</f>
        <v>0.13769584453506961</v>
      </c>
      <c r="V41" s="17">
        <f t="shared" si="6"/>
        <v>0.15024175101110901</v>
      </c>
      <c r="W41" s="38">
        <f t="shared" si="7"/>
        <v>1.2545906476039398E-2</v>
      </c>
      <c r="X41" s="12">
        <f>[1]P12CDS!B22</f>
        <v>0</v>
      </c>
      <c r="Y41" s="12">
        <f>[1]P21CDS!B22</f>
        <v>90.705258797562465</v>
      </c>
      <c r="Z41">
        <f>H41+E41+$B$21*AN41-G41-F41-$B$22*AL41+Y41-X41</f>
        <v>-8.8107299234252423E-13</v>
      </c>
      <c r="AA41">
        <f>L41+I41+$B$32*AN41-K41-J41-$B$33*AM41-Y41+X41</f>
        <v>1.4210854715202004E-14</v>
      </c>
      <c r="AB41">
        <f>F41*AI41-(AI41+AO41)*E41</f>
        <v>35.273914722055984</v>
      </c>
      <c r="AC41">
        <f>J41*AI41-(AI41+AO41)*I41</f>
        <v>64.365279452053414</v>
      </c>
      <c r="AD41" s="4">
        <f t="shared" si="8"/>
        <v>-12.829881934393276</v>
      </c>
      <c r="AE41" s="4">
        <f t="shared" si="9"/>
        <v>12.376355640405464</v>
      </c>
      <c r="AF41" s="4">
        <f t="shared" si="10"/>
        <v>0.45352629398781236</v>
      </c>
      <c r="AG41" s="4">
        <f t="shared" si="11"/>
        <v>20.205663215433798</v>
      </c>
      <c r="AH41">
        <f t="shared" si="12"/>
        <v>14.918215784449124</v>
      </c>
      <c r="AI41" s="8">
        <f>[1]data!C21</f>
        <v>9.9023506849315004E-2</v>
      </c>
      <c r="AJ41" s="8">
        <f>[1]data!C45</f>
        <v>453.96686699999998</v>
      </c>
      <c r="AK41" s="8">
        <f>[1]data!C69</f>
        <v>437.71230000000003</v>
      </c>
      <c r="AL41" s="8">
        <f>[1]data!C93</f>
        <v>0.58159001268910804</v>
      </c>
      <c r="AM41" s="8">
        <f>[1]data!C117</f>
        <v>0.31745633376550503</v>
      </c>
      <c r="AN41" s="8"/>
      <c r="AO41" s="8">
        <f>[1]data!C153</f>
        <v>5.1218244161793998E-2</v>
      </c>
      <c r="AP41" s="28" t="s">
        <v>71</v>
      </c>
      <c r="AU41">
        <v>21</v>
      </c>
      <c r="AV41" t="s">
        <v>87</v>
      </c>
      <c r="AW41">
        <v>9.9023506849315004E-2</v>
      </c>
      <c r="AX41" s="3">
        <f t="shared" si="13"/>
        <v>0</v>
      </c>
      <c r="AY41">
        <v>0.58159001268910804</v>
      </c>
      <c r="AZ41" s="3">
        <f t="shared" si="14"/>
        <v>0</v>
      </c>
      <c r="BA41">
        <v>5.1218244161793998E-2</v>
      </c>
      <c r="BB41" s="3">
        <f t="shared" si="15"/>
        <v>0</v>
      </c>
      <c r="BC41">
        <v>0</v>
      </c>
      <c r="BD41" s="3">
        <f t="shared" si="16"/>
        <v>0</v>
      </c>
      <c r="BF41">
        <v>21</v>
      </c>
      <c r="BG41" t="s">
        <v>87</v>
      </c>
      <c r="BH41">
        <v>9.9023506849315004E-2</v>
      </c>
      <c r="BI41" t="s">
        <v>88</v>
      </c>
      <c r="BJ41">
        <v>0.31745633376550503</v>
      </c>
      <c r="BK41" s="3">
        <f t="shared" si="17"/>
        <v>0</v>
      </c>
      <c r="BL41">
        <v>5.1218244161793998E-2</v>
      </c>
      <c r="BM41" t="s">
        <v>89</v>
      </c>
      <c r="BN41">
        <v>0</v>
      </c>
      <c r="BO41" t="s">
        <v>90</v>
      </c>
    </row>
    <row r="42" spans="1:67" ht="19" x14ac:dyDescent="0.2">
      <c r="A42" s="9" t="s">
        <v>27</v>
      </c>
      <c r="B42">
        <f>[1]Capacity02!$A$1</f>
        <v>-33786.68</v>
      </c>
      <c r="D42" s="4">
        <v>22</v>
      </c>
      <c r="E42" s="12">
        <v>0</v>
      </c>
      <c r="F42" s="12">
        <f>[1]Ps1!B23</f>
        <v>358.55739726024592</v>
      </c>
      <c r="G42" s="12">
        <f>[1]Pc1!B23</f>
        <v>0</v>
      </c>
      <c r="H42" s="12">
        <f>[1]Pd1!B23</f>
        <v>399.99999999997237</v>
      </c>
      <c r="I42" s="12">
        <f>[1]Pb2!B23</f>
        <v>0</v>
      </c>
      <c r="J42" s="12">
        <f>[1]Ps2!B23</f>
        <v>649.99999999981446</v>
      </c>
      <c r="K42" s="12">
        <f>[1]Pc2!B23</f>
        <v>0</v>
      </c>
      <c r="L42" s="12">
        <f>[1]Pd2!B23</f>
        <v>741.84677305956689</v>
      </c>
      <c r="M42" s="12">
        <f>[1]SOC1!B23</f>
        <v>457.82361835243307</v>
      </c>
      <c r="N42" s="12">
        <f>[1]SOC2!B23</f>
        <v>140.00000000021299</v>
      </c>
      <c r="O42" s="15">
        <f t="shared" si="18"/>
        <v>457.82361835243381</v>
      </c>
      <c r="P42" s="17">
        <f t="shared" si="2"/>
        <v>7.3896444519050419E-13</v>
      </c>
      <c r="Q42" s="17">
        <f t="shared" si="19"/>
        <v>140.00000000022806</v>
      </c>
      <c r="R42" s="17">
        <f t="shared" si="3"/>
        <v>1.5063505998114124E-11</v>
      </c>
      <c r="S42" s="38">
        <f t="shared" si="4"/>
        <v>0</v>
      </c>
      <c r="T42" s="17">
        <f t="shared" si="5"/>
        <v>9.0372109589041003E-2</v>
      </c>
      <c r="U42" s="12">
        <f>[1]epsilon!B23</f>
        <v>9.0372109589041003E-2</v>
      </c>
      <c r="V42" s="17">
        <f t="shared" si="6"/>
        <v>0.14159035375083501</v>
      </c>
      <c r="W42" s="38">
        <f t="shared" si="7"/>
        <v>5.1218244161794005E-2</v>
      </c>
      <c r="X42" s="12">
        <f>[1]P12CDS!B23</f>
        <v>0</v>
      </c>
      <c r="Y42" s="12">
        <f>[1]P21CDS!B23</f>
        <v>0</v>
      </c>
      <c r="Z42">
        <f>H42+E42+$B$21*AN42-G42-F42-$B$22*AL42+Y42-X42</f>
        <v>4.2632564145606011E-13</v>
      </c>
      <c r="AA42">
        <f>L42+I42+$B$32*AN42-K42-J42-$B$33*AM42-Y42+X42</f>
        <v>-4.2632564145606011E-14</v>
      </c>
      <c r="AB42">
        <f>F42*AI42-(AI42+AO42)*E42</f>
        <v>32.403588399164256</v>
      </c>
      <c r="AC42">
        <f>J42*AI42-(AI42+AO42)*I42</f>
        <v>58.741871232859886</v>
      </c>
      <c r="AD42" s="4">
        <f t="shared" si="8"/>
        <v>0</v>
      </c>
      <c r="AE42" s="4">
        <f t="shared" si="9"/>
        <v>0</v>
      </c>
      <c r="AF42" s="4">
        <f t="shared" si="10"/>
        <v>0</v>
      </c>
      <c r="AG42" s="4">
        <f t="shared" si="11"/>
        <v>5.8678727822731318</v>
      </c>
      <c r="AH42">
        <f t="shared" si="12"/>
        <v>13.004617088403014</v>
      </c>
      <c r="AI42" s="8">
        <f>[1]data!C22</f>
        <v>9.0372109589041003E-2</v>
      </c>
      <c r="AJ42" s="8">
        <f>[1]data!C46</f>
        <v>453.96686699999998</v>
      </c>
      <c r="AK42" s="8">
        <f>[1]data!C70</f>
        <v>437.71230000000003</v>
      </c>
      <c r="AL42" s="8">
        <f>[1]data!C94</f>
        <v>0.17921794341677</v>
      </c>
      <c r="AM42" s="8">
        <f>[1]data!C118</f>
        <v>0.29364435105678699</v>
      </c>
      <c r="AN42" s="8"/>
      <c r="AO42" s="8">
        <f>[1]data!C154</f>
        <v>5.1218244161793998E-2</v>
      </c>
      <c r="AP42" s="28" t="s">
        <v>71</v>
      </c>
      <c r="AU42">
        <v>22</v>
      </c>
      <c r="AV42" t="s">
        <v>87</v>
      </c>
      <c r="AW42">
        <v>9.0372109589041003E-2</v>
      </c>
      <c r="AX42" s="3">
        <f t="shared" si="13"/>
        <v>0</v>
      </c>
      <c r="AY42">
        <v>0.17921794341677</v>
      </c>
      <c r="AZ42" s="3">
        <f t="shared" si="14"/>
        <v>0</v>
      </c>
      <c r="BA42">
        <v>5.1218244161793998E-2</v>
      </c>
      <c r="BB42" s="3">
        <f t="shared" si="15"/>
        <v>0</v>
      </c>
      <c r="BC42">
        <v>0</v>
      </c>
      <c r="BD42" s="3">
        <f t="shared" si="16"/>
        <v>0</v>
      </c>
      <c r="BF42">
        <v>22</v>
      </c>
      <c r="BG42" t="s">
        <v>87</v>
      </c>
      <c r="BH42">
        <v>9.0372109589041003E-2</v>
      </c>
      <c r="BI42" t="s">
        <v>88</v>
      </c>
      <c r="BJ42">
        <v>0.29364435105678699</v>
      </c>
      <c r="BK42" s="3">
        <f t="shared" si="17"/>
        <v>0</v>
      </c>
      <c r="BL42">
        <v>5.1218244161793998E-2</v>
      </c>
      <c r="BM42" t="s">
        <v>89</v>
      </c>
      <c r="BN42">
        <v>0</v>
      </c>
      <c r="BO42" t="s">
        <v>90</v>
      </c>
    </row>
    <row r="43" spans="1:67" ht="19" x14ac:dyDescent="0.2">
      <c r="A43" s="10"/>
      <c r="D43" s="4">
        <v>23</v>
      </c>
      <c r="E43" s="12">
        <v>0</v>
      </c>
      <c r="F43" s="12">
        <f>[1]Ps1!B24</f>
        <v>91.926194696648764</v>
      </c>
      <c r="G43" s="12">
        <f>[1]Pc1!B24</f>
        <v>0</v>
      </c>
      <c r="H43" s="12">
        <f>[1]Pd1!B24</f>
        <v>211.37181346634651</v>
      </c>
      <c r="I43" s="12">
        <f>[1]Pb2!B24</f>
        <v>0</v>
      </c>
      <c r="J43" s="12">
        <f>[1]Ps2!B24</f>
        <v>1.4240518779375791E-10</v>
      </c>
      <c r="K43" s="12">
        <f>[1]Pc2!B24</f>
        <v>0</v>
      </c>
      <c r="L43" s="12">
        <f>[1]Pd2!B24</f>
        <v>1.4240518779375791E-10</v>
      </c>
      <c r="M43" s="12">
        <f>[1]SOC1!B24</f>
        <v>239.91453230465311</v>
      </c>
      <c r="N43" s="12">
        <f>[1]SOC2!B24</f>
        <v>140.0000000000631</v>
      </c>
      <c r="O43" s="15">
        <f t="shared" si="18"/>
        <v>239.9145323046539</v>
      </c>
      <c r="P43" s="17">
        <f t="shared" si="2"/>
        <v>7.9580786405131221E-13</v>
      </c>
      <c r="Q43" s="17">
        <f t="shared" si="19"/>
        <v>140.00000000007816</v>
      </c>
      <c r="R43" s="17">
        <f t="shared" si="3"/>
        <v>1.5063505998114124E-11</v>
      </c>
      <c r="S43" s="38">
        <f t="shared" si="4"/>
        <v>2.7318199095368867E-3</v>
      </c>
      <c r="T43" s="17">
        <f t="shared" si="5"/>
        <v>8.1188794520548002E-2</v>
      </c>
      <c r="U43" s="12">
        <f>[1]epsilon!B24</f>
        <v>8.3920614430084889E-2</v>
      </c>
      <c r="V43" s="17">
        <f t="shared" si="6"/>
        <v>0.10226316582578861</v>
      </c>
      <c r="W43" s="38">
        <f t="shared" si="7"/>
        <v>1.8342551395703718E-2</v>
      </c>
      <c r="X43" s="12">
        <f>[1]P12CDS!B24</f>
        <v>85.942659865588297</v>
      </c>
      <c r="Y43" s="12">
        <f>[1]P21CDS!B24</f>
        <v>0</v>
      </c>
      <c r="Z43">
        <f>H43+E43+$B$21*AN43-G43-F43-$B$22*AL43+Y43-X43</f>
        <v>0</v>
      </c>
      <c r="AA43">
        <f>L43+I43+$B$32*AN43-K43-J43-$B$33*AM43-Y43+X43</f>
        <v>0</v>
      </c>
      <c r="AB43">
        <f>F43*AI43-(AI43+AO43)*E43</f>
        <v>7.463376932282106</v>
      </c>
      <c r="AC43">
        <f>J43*AI43-(AI43+AO43)*I43</f>
        <v>1.1561705530447461E-11</v>
      </c>
      <c r="AD43" s="4">
        <f t="shared" si="8"/>
        <v>7.1049324968439809</v>
      </c>
      <c r="AE43" s="4">
        <f t="shared" si="9"/>
        <v>-7.5346457961719233</v>
      </c>
      <c r="AF43" s="4">
        <f t="shared" si="10"/>
        <v>0.4297132993279415</v>
      </c>
      <c r="AG43" s="4">
        <f t="shared" si="11"/>
        <v>3.426118642065529</v>
      </c>
      <c r="AH43">
        <f t="shared" si="12"/>
        <v>8.7887684773440036</v>
      </c>
      <c r="AI43" s="8">
        <f>[1]data!C23</f>
        <v>8.1188794520548002E-2</v>
      </c>
      <c r="AJ43" s="8">
        <f>[1]data!C47</f>
        <v>338.05515300000002</v>
      </c>
      <c r="AK43" s="8">
        <f>[1]data!C71</f>
        <v>379.49779999999998</v>
      </c>
      <c r="AL43" s="8">
        <f>[1]data!C95</f>
        <v>0.14488306709113699</v>
      </c>
      <c r="AM43" s="8">
        <f>[1]data!C119</f>
        <v>0.27476824436615499</v>
      </c>
      <c r="AN43" s="8"/>
      <c r="AO43" s="8">
        <f>[1]data!C155</f>
        <v>2.1074371305240602E-2</v>
      </c>
      <c r="AP43" s="24" t="s">
        <v>67</v>
      </c>
      <c r="AU43">
        <v>23</v>
      </c>
      <c r="AV43" t="s">
        <v>87</v>
      </c>
      <c r="AW43">
        <v>8.1188794520548002E-2</v>
      </c>
      <c r="AX43" s="3">
        <f t="shared" si="13"/>
        <v>0</v>
      </c>
      <c r="AY43">
        <v>0.14488306709113699</v>
      </c>
      <c r="AZ43" s="3">
        <f t="shared" si="14"/>
        <v>0</v>
      </c>
      <c r="BA43">
        <v>2.1074371305240602E-2</v>
      </c>
      <c r="BB43" s="3">
        <f t="shared" si="15"/>
        <v>0</v>
      </c>
      <c r="BC43">
        <v>0</v>
      </c>
      <c r="BD43" s="3">
        <f t="shared" si="16"/>
        <v>0</v>
      </c>
      <c r="BF43">
        <v>23</v>
      </c>
      <c r="BG43" t="s">
        <v>87</v>
      </c>
      <c r="BH43">
        <v>8.1188794520548002E-2</v>
      </c>
      <c r="BI43" t="s">
        <v>88</v>
      </c>
      <c r="BJ43">
        <v>0.27476824436615499</v>
      </c>
      <c r="BK43" s="3">
        <f t="shared" si="17"/>
        <v>0</v>
      </c>
      <c r="BL43">
        <v>2.1074371305240602E-2</v>
      </c>
      <c r="BM43" t="s">
        <v>89</v>
      </c>
      <c r="BN43">
        <v>0</v>
      </c>
      <c r="BO43" t="s">
        <v>90</v>
      </c>
    </row>
    <row r="44" spans="1:67" ht="19" x14ac:dyDescent="0.2">
      <c r="A44" s="9" t="s">
        <v>28</v>
      </c>
      <c r="B44">
        <f>[1]kappaP1!$A$1</f>
        <v>28.791869999999999</v>
      </c>
      <c r="D44" s="4">
        <v>24</v>
      </c>
      <c r="E44" s="12">
        <v>0</v>
      </c>
      <c r="F44" s="12">
        <f>[1]Ps1!B25</f>
        <v>1.1739792569066129E-10</v>
      </c>
      <c r="G44" s="12">
        <f>[1]Pc1!B25</f>
        <v>0</v>
      </c>
      <c r="H44" s="12">
        <f>[1]Pd1!B25</f>
        <v>135.7170963355135</v>
      </c>
      <c r="I44" s="12">
        <f>[1]Pb2!B25</f>
        <v>0</v>
      </c>
      <c r="J44" s="12">
        <f>[1]Ps2!B25</f>
        <v>5.9935136985812126E-11</v>
      </c>
      <c r="K44" s="12">
        <f>[1]Pc2!B25</f>
        <v>0</v>
      </c>
      <c r="L44" s="12">
        <f>[1]Pd2!B25</f>
        <v>5.9920926131096924E-11</v>
      </c>
      <c r="M44" s="12">
        <f>[1]SOC1!B25</f>
        <v>100</v>
      </c>
      <c r="N44" s="12">
        <f>[1]SOC2!B25</f>
        <v>140</v>
      </c>
      <c r="O44" s="15">
        <f t="shared" si="18"/>
        <v>100.0000000000008</v>
      </c>
      <c r="P44" s="17">
        <f t="shared" si="2"/>
        <v>7.9580786405131221E-13</v>
      </c>
      <c r="Q44" s="17">
        <f t="shared" si="19"/>
        <v>140.00000000001509</v>
      </c>
      <c r="R44" s="17">
        <f t="shared" si="3"/>
        <v>1.5091927707544528E-11</v>
      </c>
      <c r="S44" s="38">
        <f t="shared" si="4"/>
        <v>5.2442502935977492E-3</v>
      </c>
      <c r="T44" s="17">
        <f t="shared" si="5"/>
        <v>7.4767232876711998E-2</v>
      </c>
      <c r="U44" s="12">
        <f>[1]epsilon!B25</f>
        <v>8.0011483170309747E-2</v>
      </c>
      <c r="V44" s="17">
        <f t="shared" si="6"/>
        <v>9.5841604181952603E-2</v>
      </c>
      <c r="W44" s="38">
        <f t="shared" si="7"/>
        <v>1.5830121011642856E-2</v>
      </c>
      <c r="X44" s="12">
        <f>[1]P12CDS!B25</f>
        <v>103.79630181484811</v>
      </c>
      <c r="Y44" s="12">
        <f>[1]P21CDS!B25</f>
        <v>0</v>
      </c>
      <c r="Z44">
        <f>H44+E44+$B$21*AN44-G44-F44-$B$22*AL44+Y44-X44</f>
        <v>0</v>
      </c>
      <c r="AA44">
        <f>L44+I44+$B$32*AN44-K44-J44-$B$33*AM44-Y44+X44</f>
        <v>0</v>
      </c>
      <c r="AB44">
        <f>F44*AI44-(AI44+AO44)*E44</f>
        <v>8.7775180493566034E-12</v>
      </c>
      <c r="AC44">
        <f>J44*AI44-(AI44+AO44)*I44</f>
        <v>4.4811843445158497E-12</v>
      </c>
      <c r="AD44" s="4">
        <f t="shared" si="8"/>
        <v>8.1751506785305494</v>
      </c>
      <c r="AE44" s="4">
        <f t="shared" si="9"/>
        <v>-8.6941321876047919</v>
      </c>
      <c r="AF44" s="4">
        <f t="shared" si="10"/>
        <v>0.51898150907424057</v>
      </c>
      <c r="AG44" s="4">
        <f t="shared" si="11"/>
        <v>3.0593401536118003</v>
      </c>
      <c r="AH44">
        <f t="shared" si="12"/>
        <v>9.9480040740891589</v>
      </c>
      <c r="AI44" s="8">
        <f>[1]data!C24</f>
        <v>7.4767232876711998E-2</v>
      </c>
      <c r="AJ44" s="8">
        <f>[1]data!C48</f>
        <v>338.05515300000002</v>
      </c>
      <c r="AK44" s="8">
        <f>[1]data!C72</f>
        <v>379.49779999999998</v>
      </c>
      <c r="AL44" s="8">
        <f>[1]data!C96</f>
        <v>0.13804101982036199</v>
      </c>
      <c r="AM44" s="8">
        <f>[1]data!C120</f>
        <v>0.33184832382392698</v>
      </c>
      <c r="AN44" s="8"/>
      <c r="AO44" s="8">
        <f>[1]data!C156</f>
        <v>2.1074371305240602E-2</v>
      </c>
      <c r="AP44" s="24" t="s">
        <v>67</v>
      </c>
      <c r="AU44">
        <v>24</v>
      </c>
      <c r="AV44" t="s">
        <v>87</v>
      </c>
      <c r="AW44">
        <v>7.4767232876711998E-2</v>
      </c>
      <c r="AX44" s="3">
        <f t="shared" si="13"/>
        <v>0</v>
      </c>
      <c r="AY44">
        <v>0.13804101982036199</v>
      </c>
      <c r="AZ44" s="3">
        <f t="shared" si="14"/>
        <v>0</v>
      </c>
      <c r="BA44">
        <v>2.1074371305240602E-2</v>
      </c>
      <c r="BB44" s="3">
        <f t="shared" si="15"/>
        <v>0</v>
      </c>
      <c r="BC44">
        <v>0</v>
      </c>
      <c r="BD44" s="3">
        <f t="shared" si="16"/>
        <v>0</v>
      </c>
      <c r="BF44">
        <v>24</v>
      </c>
      <c r="BG44" t="s">
        <v>87</v>
      </c>
      <c r="BH44">
        <v>7.4767232876711998E-2</v>
      </c>
      <c r="BI44" t="s">
        <v>88</v>
      </c>
      <c r="BJ44">
        <v>0.33184832382392698</v>
      </c>
      <c r="BK44" s="3">
        <f t="shared" si="17"/>
        <v>0</v>
      </c>
      <c r="BL44">
        <v>2.1074371305240602E-2</v>
      </c>
      <c r="BM44" t="s">
        <v>89</v>
      </c>
      <c r="BN44">
        <v>0</v>
      </c>
      <c r="BO44" t="s">
        <v>90</v>
      </c>
    </row>
    <row r="45" spans="1:67" ht="19" x14ac:dyDescent="0.2">
      <c r="A45" s="9" t="s">
        <v>29</v>
      </c>
      <c r="B45">
        <f>[1]kappaP2!$A$1</f>
        <v>15.077640000000001</v>
      </c>
      <c r="G45" s="8"/>
      <c r="H45" s="8"/>
      <c r="I45" s="8"/>
      <c r="J45" s="8"/>
      <c r="K45" s="8"/>
      <c r="L45" s="8"/>
      <c r="M45" s="8"/>
      <c r="N45" s="8"/>
      <c r="O45" s="8"/>
      <c r="AB45" s="8"/>
      <c r="AC45" s="8"/>
      <c r="AD45" s="8"/>
      <c r="AX45" s="3">
        <f>SUM(AX21:AX44)</f>
        <v>0</v>
      </c>
      <c r="AZ45" s="3">
        <f>SUM(AZ21:AZ44)</f>
        <v>0</v>
      </c>
      <c r="BB45" s="3">
        <f>SUM(BB21:BB44)</f>
        <v>0</v>
      </c>
      <c r="BD45" s="3">
        <f>SUM(BD21:BD44)</f>
        <v>0</v>
      </c>
      <c r="BK45" s="3">
        <f>SUM(BK21:BK44)</f>
        <v>0</v>
      </c>
    </row>
    <row r="46" spans="1:67" ht="19" x14ac:dyDescent="0.2">
      <c r="A46" s="9" t="s">
        <v>30</v>
      </c>
      <c r="B46">
        <f>[1]kappaP3!$A$1</f>
        <v>6.5591699999999999</v>
      </c>
      <c r="AX46" s="3">
        <f>AX45+AZ45+BB45+BD45</f>
        <v>0</v>
      </c>
    </row>
    <row r="47" spans="1:67" ht="19" x14ac:dyDescent="0.2">
      <c r="A47" s="9" t="s">
        <v>31</v>
      </c>
      <c r="B47">
        <f>[1]kappaP4!$A$1</f>
        <v>5.1720899999999999</v>
      </c>
      <c r="G47" s="7"/>
    </row>
    <row r="48" spans="1:67" ht="19" x14ac:dyDescent="0.2">
      <c r="A48" s="9" t="s">
        <v>32</v>
      </c>
      <c r="B48">
        <f>[1]kappaP5!$A$1</f>
        <v>1.9328099999999999</v>
      </c>
      <c r="G48" s="7"/>
    </row>
    <row r="49" spans="1:7" ht="19" x14ac:dyDescent="0.2">
      <c r="A49" s="9" t="s">
        <v>33</v>
      </c>
      <c r="B49">
        <f>[1]kappaP6!$A$1</f>
        <v>0.91608999999999996</v>
      </c>
      <c r="G49" s="7"/>
    </row>
    <row r="50" spans="1:7" ht="19" x14ac:dyDescent="0.2">
      <c r="A50" s="9" t="s">
        <v>34</v>
      </c>
      <c r="B50">
        <f>[1]CAPEXpv!$A$1</f>
        <v>700</v>
      </c>
      <c r="G50" s="7"/>
    </row>
    <row r="51" spans="1:7" ht="19" x14ac:dyDescent="0.2">
      <c r="A51" s="9" t="s">
        <v>35</v>
      </c>
      <c r="B51">
        <f>[1]CAPEX_BESS!$A$1</f>
        <v>200</v>
      </c>
      <c r="G51" s="7"/>
    </row>
    <row r="52" spans="1:7" ht="19" x14ac:dyDescent="0.2">
      <c r="A52" s="9" t="s">
        <v>36</v>
      </c>
      <c r="B52">
        <f>[1]CAPEX_BESS_inverter!$A$1</f>
        <v>80</v>
      </c>
    </row>
    <row r="53" spans="1:7" ht="19" x14ac:dyDescent="0.2">
      <c r="A53" s="9" t="s">
        <v>37</v>
      </c>
      <c r="B53">
        <f>[1]crf!$A$1</f>
        <v>8.0242587190689996E-2</v>
      </c>
    </row>
    <row r="54" spans="1:7" ht="19" x14ac:dyDescent="0.2">
      <c r="A54" s="9" t="s">
        <v>38</v>
      </c>
      <c r="B54">
        <f>[1]varphib!$A$1</f>
        <v>3.7499999999999999E-3</v>
      </c>
    </row>
    <row r="55" spans="1:7" ht="19" x14ac:dyDescent="0.2">
      <c r="A55" s="9" t="s">
        <v>39</v>
      </c>
      <c r="B55">
        <f>[1]varphis!$A$1</f>
        <v>1.25E-3</v>
      </c>
    </row>
    <row r="56" spans="1:7" ht="19" x14ac:dyDescent="0.2">
      <c r="A56" s="9" t="s">
        <v>40</v>
      </c>
      <c r="B56">
        <f>[1]PmaxCDS!$A$1</f>
        <v>400</v>
      </c>
    </row>
    <row r="57" spans="1:7" ht="19" x14ac:dyDescent="0.2">
      <c r="A57" s="9" t="s">
        <v>41</v>
      </c>
    </row>
    <row r="58" spans="1:7" ht="19" x14ac:dyDescent="0.2">
      <c r="A58" s="9" t="s">
        <v>42</v>
      </c>
    </row>
    <row r="59" spans="1:7" x14ac:dyDescent="0.2">
      <c r="A59" s="4" t="s">
        <v>59</v>
      </c>
      <c r="B59" s="13">
        <f>B24*B27</f>
        <v>400</v>
      </c>
    </row>
    <row r="60" spans="1:7" x14ac:dyDescent="0.2">
      <c r="A60" s="4" t="s">
        <v>60</v>
      </c>
      <c r="B60" s="13">
        <f>B35*B38</f>
        <v>840</v>
      </c>
    </row>
    <row r="61" spans="1:7" x14ac:dyDescent="0.2">
      <c r="A61" s="4" t="s">
        <v>58</v>
      </c>
      <c r="B61" s="13">
        <f>B24*B51+B52*B59+B50*B21</f>
        <v>830300</v>
      </c>
    </row>
    <row r="62" spans="1:7" x14ac:dyDescent="0.2">
      <c r="A62" s="4" t="s">
        <v>61</v>
      </c>
      <c r="B62" s="13">
        <f>B35*B51+B52*B60+B32*B50</f>
        <v>1187200</v>
      </c>
    </row>
    <row r="63" spans="1:7" x14ac:dyDescent="0.2">
      <c r="A63" s="4" t="s">
        <v>72</v>
      </c>
      <c r="B63" s="4">
        <f>SUM(AQ21:AQ44)</f>
        <v>27482.335815723807</v>
      </c>
    </row>
    <row r="64" spans="1:7" x14ac:dyDescent="0.2">
      <c r="A64" s="4" t="s">
        <v>73</v>
      </c>
      <c r="B64" s="4">
        <f>SUM(AR21:AR44)</f>
        <v>25736.664265915999</v>
      </c>
    </row>
    <row r="65" spans="1:2" x14ac:dyDescent="0.2">
      <c r="A65" s="4" t="s">
        <v>55</v>
      </c>
      <c r="B65" s="12">
        <f>[1]delta!$A$2</f>
        <v>0</v>
      </c>
    </row>
    <row r="66" spans="1:2" x14ac:dyDescent="0.2">
      <c r="B66" s="4"/>
    </row>
    <row r="67" spans="1:2" x14ac:dyDescent="0.2">
      <c r="B67" s="4"/>
    </row>
  </sheetData>
  <mergeCells count="1">
    <mergeCell ref="Z20:AA20"/>
  </mergeCells>
  <phoneticPr fontId="2" type="noConversion"/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34AF-07EA-A04E-86A4-D13E04DDDBC6}">
  <dimension ref="D15:AB44"/>
  <sheetViews>
    <sheetView tabSelected="1" topLeftCell="M18" workbookViewId="0">
      <selection activeCell="O25" sqref="O25"/>
    </sheetView>
  </sheetViews>
  <sheetFormatPr baseColWidth="10" defaultRowHeight="16" x14ac:dyDescent="0.2"/>
  <cols>
    <col min="5" max="14" width="20.5" customWidth="1"/>
    <col min="22" max="23" width="23.5" customWidth="1"/>
  </cols>
  <sheetData>
    <row r="15" spans="21:27" x14ac:dyDescent="0.2">
      <c r="U15" s="33">
        <f>'M7_24 Gams Solution '!Y15-'M7_24 Gurobi Solution'!Y15</f>
        <v>0</v>
      </c>
      <c r="V15" s="33">
        <f>'M7_24 Gams Solution '!Z15-'M7_24 Gurobi Solution'!Z15</f>
        <v>0</v>
      </c>
      <c r="W15" s="33">
        <f>'M7_24 Gams Solution '!AA15-'M7_24 Gurobi Solution'!AA15</f>
        <v>0</v>
      </c>
      <c r="X15" s="33">
        <f>'M7_24 Gams Solution '!AB15-'M7_24 Gurobi Solution'!AB15</f>
        <v>0</v>
      </c>
      <c r="Y15" s="33" t="e">
        <f>'M7_24 Gams Solution '!AC15-'M7_24 Gurobi Solution'!AC15</f>
        <v>#VALUE!</v>
      </c>
      <c r="Z15" s="33">
        <f>'M7_24 Gams Solution '!AD15-'M7_24 Gurobi Solution'!AD15</f>
        <v>-689.20801217854023</v>
      </c>
      <c r="AA15" s="33">
        <f>'M7_24 Gams Solution '!AE15-'M7_24 Gurobi Solution'!AE15</f>
        <v>0</v>
      </c>
    </row>
    <row r="16" spans="21:27" x14ac:dyDescent="0.2">
      <c r="U16" s="33">
        <f>'M7_24 Gams Solution '!Y16-'M7_24 Gurobi Solution'!Y16</f>
        <v>0</v>
      </c>
      <c r="V16" s="33">
        <f>'M7_24 Gams Solution '!Z16-'M7_24 Gurobi Solution'!Z16</f>
        <v>0</v>
      </c>
      <c r="W16" s="33">
        <f>'M7_24 Gams Solution '!AA16-'M7_24 Gurobi Solution'!AA16</f>
        <v>0</v>
      </c>
      <c r="X16" s="33">
        <f>'M7_24 Gams Solution '!AB16-'M7_24 Gurobi Solution'!AB16</f>
        <v>0</v>
      </c>
      <c r="Y16" s="33">
        <f>'M7_24 Gams Solution '!AC16-'M7_24 Gurobi Solution'!AC16</f>
        <v>0</v>
      </c>
      <c r="Z16" s="33">
        <f>'M7_24 Gams Solution '!AD16-'M7_24 Gurobi Solution'!AD16</f>
        <v>0</v>
      </c>
      <c r="AA16" s="33">
        <f>'M7_24 Gams Solution '!AE16-'M7_24 Gurobi Solution'!AE16</f>
        <v>0</v>
      </c>
    </row>
    <row r="17" spans="4:28" x14ac:dyDescent="0.2">
      <c r="U17" s="33">
        <f>'M7_24 Gams Solution '!Y17-'M7_24 Gurobi Solution'!Y17</f>
        <v>0</v>
      </c>
      <c r="V17" s="33">
        <f>'M7_24 Gams Solution '!Z17-'M7_24 Gurobi Solution'!Z17</f>
        <v>0</v>
      </c>
      <c r="W17" s="33">
        <f>'M7_24 Gams Solution '!AA17-'M7_24 Gurobi Solution'!AA17</f>
        <v>0</v>
      </c>
      <c r="X17" s="33">
        <f>'M7_24 Gams Solution '!AB17-'M7_24 Gurobi Solution'!AB17</f>
        <v>7.9922756412997842E-8</v>
      </c>
      <c r="Y17" s="33">
        <f>'M7_24 Gams Solution '!AC17-'M7_24 Gurobi Solution'!AC17</f>
        <v>55.303833929865505</v>
      </c>
      <c r="Z17" s="33">
        <f>'M7_24 Gams Solution '!AD17-'M7_24 Gurobi Solution'!AD17</f>
        <v>22.760234601310913</v>
      </c>
      <c r="AA17" s="33">
        <f>'M7_24 Gams Solution '!AE17-'M7_24 Gurobi Solution'!AE17</f>
        <v>-22.760234601310003</v>
      </c>
    </row>
    <row r="18" spans="4:28" x14ac:dyDescent="0.2">
      <c r="U18" s="33">
        <f>'M7_24 Gams Solution '!Y18-'M7_24 Gurobi Solution'!Y18</f>
        <v>0</v>
      </c>
      <c r="V18" s="33">
        <f>'M7_24 Gams Solution '!Z18-'M7_24 Gurobi Solution'!Z18</f>
        <v>2.612912552990565E-9</v>
      </c>
      <c r="W18" s="33">
        <f>'M7_24 Gams Solution '!AA18-'M7_24 Gurobi Solution'!AA18</f>
        <v>2.3199220322567271E-12</v>
      </c>
      <c r="X18" s="33">
        <f>'M7_24 Gams Solution '!AB18-'M7_24 Gurobi Solution'!AB18</f>
        <v>0</v>
      </c>
      <c r="Y18" s="33">
        <f>'M7_24 Gams Solution '!AC18-'M7_24 Gurobi Solution'!AC18</f>
        <v>0</v>
      </c>
      <c r="Z18" s="33">
        <f>'M7_24 Gams Solution '!AD18-'M7_24 Gurobi Solution'!AD18</f>
        <v>0</v>
      </c>
      <c r="AA18" s="33">
        <f>'M7_24 Gams Solution '!AE18-'M7_24 Gurobi Solution'!AE18</f>
        <v>0</v>
      </c>
    </row>
    <row r="19" spans="4:28" x14ac:dyDescent="0.2">
      <c r="U19" s="33">
        <f>'M7_24 Gams Solution '!Y19-'M7_24 Gurobi Solution'!Y19</f>
        <v>0</v>
      </c>
      <c r="V19" s="33">
        <f>'M7_24 Gams Solution '!Z19-'M7_24 Gurobi Solution'!Z19</f>
        <v>0</v>
      </c>
      <c r="W19" s="33">
        <f>'M7_24 Gams Solution '!AA19-'M7_24 Gurobi Solution'!AA19</f>
        <v>0</v>
      </c>
      <c r="X19" s="33">
        <f>'M7_24 Gams Solution '!AB19-'M7_24 Gurobi Solution'!AB19</f>
        <v>-7.9922756412997842E-8</v>
      </c>
      <c r="Y19" s="33">
        <f>'M7_24 Gams Solution '!AC19-'M7_24 Gurobi Solution'!AC19</f>
        <v>-55.303833929829125</v>
      </c>
      <c r="Z19" s="33">
        <f>'M7_24 Gams Solution '!AD19-'M7_24 Gurobi Solution'!AD19</f>
        <v>-22.760234601310003</v>
      </c>
      <c r="AA19" s="33">
        <f>'M7_24 Gams Solution '!AE19-'M7_24 Gurobi Solution'!AE19</f>
        <v>22.760234601309094</v>
      </c>
    </row>
    <row r="20" spans="4:28" x14ac:dyDescent="0.2">
      <c r="E20" s="4" t="str">
        <f>'M7_24 Gams Solution '!E20</f>
        <v>Pb1</v>
      </c>
      <c r="F20" s="4" t="str">
        <f>'M7_24 Gams Solution '!F20</f>
        <v>Ps1</v>
      </c>
      <c r="G20" s="4" t="str">
        <f>'M7_24 Gams Solution '!G20</f>
        <v>Pc1</v>
      </c>
      <c r="H20" s="4" t="str">
        <f>'M7_24 Gams Solution '!H20</f>
        <v>Pd1</v>
      </c>
      <c r="I20" s="4" t="str">
        <f>'M7_24 Gams Solution '!I20</f>
        <v>Pb2</v>
      </c>
      <c r="J20" s="4" t="str">
        <f>'M7_24 Gams Solution '!J20</f>
        <v>Ps2</v>
      </c>
      <c r="K20" s="4" t="str">
        <f>'M7_24 Gams Solution '!K20</f>
        <v>Pc2</v>
      </c>
      <c r="L20" s="4" t="str">
        <f>'M7_24 Gams Solution '!L20</f>
        <v>Pd2</v>
      </c>
      <c r="M20" s="4" t="str">
        <f>'M7_24 Gams Solution '!M20</f>
        <v>SOC1</v>
      </c>
      <c r="N20" s="4" t="str">
        <f>'M7_24 Gams Solution '!N20</f>
        <v>SOC2</v>
      </c>
      <c r="S20" s="4" t="str">
        <f>'M7_24 Gams Solution '!U20</f>
        <v>epsilon</v>
      </c>
      <c r="T20" s="4" t="str">
        <f>'M7_24 Gams Solution '!X20</f>
        <v>P12CDS</v>
      </c>
      <c r="U20" s="4" t="str">
        <f>'M7_24 Gams Solution '!Y20</f>
        <v>P21CDS</v>
      </c>
      <c r="V20" s="14" t="str">
        <f>'M7_24 Gams Solution '!Z20</f>
        <v>BALANCES</v>
      </c>
      <c r="W20" s="14"/>
      <c r="X20" s="4" t="str">
        <f>'M7_24 Gams Solution '!AB20</f>
        <v>Benefit1</v>
      </c>
      <c r="Y20" s="4" t="str">
        <f>'M7_24 Gams Solution '!AC20</f>
        <v>Benefit2</v>
      </c>
      <c r="Z20" s="4" t="str">
        <f>'M7_24 Gams Solution '!AD20</f>
        <v>E1</v>
      </c>
      <c r="AA20" s="4" t="str">
        <f>'M7_24 Gams Solution '!AE20</f>
        <v>E2</v>
      </c>
      <c r="AB20" s="4" t="str">
        <f>'M7_24 Gams Solution '!AF20</f>
        <v>APA</v>
      </c>
    </row>
    <row r="21" spans="4:28" x14ac:dyDescent="0.2">
      <c r="D21">
        <v>1</v>
      </c>
      <c r="E21" s="42">
        <f>'M7_24 Gams Solution '!E21-'M7_24 Gurobi Solution'!E21</f>
        <v>-4.0145664570445661E-13</v>
      </c>
      <c r="F21" s="42">
        <f>'M7_24 Gams Solution '!F21-'M7_24 Gurobi Solution'!F21</f>
        <v>0</v>
      </c>
      <c r="G21" s="42">
        <f>'M7_24 Gams Solution '!G21-'M7_24 Gurobi Solution'!G21</f>
        <v>1.627604527662443E-10</v>
      </c>
      <c r="H21" s="42">
        <f>'M7_24 Gams Solution '!H21-'M7_24 Gurobi Solution'!H21</f>
        <v>0</v>
      </c>
      <c r="I21" s="42">
        <f>'M7_24 Gams Solution '!I21-'M7_24 Gurobi Solution'!I21</f>
        <v>7.0599526225123554E-11</v>
      </c>
      <c r="J21" s="42">
        <f>'M7_24 Gams Solution '!J21-'M7_24 Gurobi Solution'!J21</f>
        <v>0</v>
      </c>
      <c r="K21" s="42">
        <f>'M7_24 Gams Solution '!K21-'M7_24 Gurobi Solution'!K21</f>
        <v>7.014477887423709E-11</v>
      </c>
      <c r="L21" s="42">
        <f>'M7_24 Gams Solution '!L21-'M7_24 Gurobi Solution'!L21</f>
        <v>0</v>
      </c>
      <c r="M21" s="42">
        <f>'M7_24 Gams Solution '!M21-'M7_24 Gurobi Solution'!M21</f>
        <v>1.5140244613576215E-10</v>
      </c>
      <c r="N21" s="42">
        <f>'M7_24 Gams Solution '!N21-'M7_24 Gurobi Solution'!N21</f>
        <v>6.4488858697586693E-11</v>
      </c>
      <c r="P21" s="11">
        <f>'M7_24 Gurobi Solution'!N21</f>
        <v>140</v>
      </c>
      <c r="Q21" s="11">
        <f>'M7_24 Gams Solution '!N21</f>
        <v>140.00000000006449</v>
      </c>
      <c r="S21" s="40">
        <f>'M7_24 Gams Solution '!U21-'M7_24 Gurobi Solution'!U21</f>
        <v>0</v>
      </c>
      <c r="T21" s="40">
        <f>'M7_24 Gams Solution '!X21-'M7_24 Gurobi Solution'!X21</f>
        <v>0</v>
      </c>
      <c r="U21" s="40">
        <f>'M7_24 Gams Solution '!Y21-'M7_24 Gurobi Solution'!Y21</f>
        <v>0</v>
      </c>
      <c r="V21" s="44">
        <f>'M7_24 Gams Solution '!Z21-'M7_24 Gurobi Solution'!Z21</f>
        <v>-1.6316192841259181E-10</v>
      </c>
      <c r="W21" s="44">
        <f>'M7_24 Gams Solution '!AA21-'M7_24 Gurobi Solution'!AA21</f>
        <v>4.5474735088646412E-13</v>
      </c>
      <c r="X21" s="33">
        <f>'M7_24 Gams Solution '!AB21-'M7_24 Gurobi Solution'!AB21</f>
        <v>3.6859404417555197E-14</v>
      </c>
      <c r="Y21" s="33">
        <f>'M7_24 Gams Solution '!AC21-'M7_24 Gurobi Solution'!AC21</f>
        <v>-6.4659388954169117E-12</v>
      </c>
      <c r="Z21" s="33">
        <f>'M7_24 Gams Solution '!AD21-'M7_24 Gurobi Solution'!AD21</f>
        <v>0</v>
      </c>
      <c r="AA21" s="33">
        <f>'M7_24 Gams Solution '!AE21-'M7_24 Gurobi Solution'!AE21</f>
        <v>0</v>
      </c>
      <c r="AB21" s="33">
        <f>'M7_24 Gams Solution '!AF21-'M7_24 Gurobi Solution'!AF21</f>
        <v>0</v>
      </c>
    </row>
    <row r="22" spans="4:28" x14ac:dyDescent="0.2">
      <c r="D22">
        <v>2</v>
      </c>
      <c r="E22" s="42">
        <f>'M7_24 Gams Solution '!E22-'M7_24 Gurobi Solution'!E22</f>
        <v>3.979039320256561E-13</v>
      </c>
      <c r="F22" s="42">
        <f>'M7_24 Gams Solution '!F22-'M7_24 Gurobi Solution'!F22</f>
        <v>0</v>
      </c>
      <c r="G22" s="42">
        <f>'M7_24 Gams Solution '!G22-'M7_24 Gurobi Solution'!G22</f>
        <v>0</v>
      </c>
      <c r="H22" s="42">
        <f>'M7_24 Gams Solution '!H22-'M7_24 Gurobi Solution'!H22</f>
        <v>2.863035643049902E-11</v>
      </c>
      <c r="I22" s="42">
        <f>'M7_24 Gams Solution '!I22-'M7_24 Gurobi Solution'!I22</f>
        <v>-1.6086687537608668E-11</v>
      </c>
      <c r="J22" s="42">
        <f>'M7_24 Gams Solution '!J22-'M7_24 Gurobi Solution'!J22</f>
        <v>0</v>
      </c>
      <c r="K22" s="42">
        <f>'M7_24 Gams Solution '!K22-'M7_24 Gurobi Solution'!K22</f>
        <v>0</v>
      </c>
      <c r="L22" s="42">
        <f>'M7_24 Gams Solution '!L22-'M7_24 Gurobi Solution'!L22</f>
        <v>1.6345405663876911E-11</v>
      </c>
      <c r="M22" s="42">
        <f>'M7_24 Gams Solution '!M22-'M7_24 Gurobi Solution'!M22</f>
        <v>1.2190071174700279E-10</v>
      </c>
      <c r="N22" s="42">
        <f>'M7_24 Gams Solution '!N22-'M7_24 Gurobi Solution'!N22</f>
        <v>4.7407411329913884E-11</v>
      </c>
      <c r="P22" s="11">
        <f>'M7_24 Gurobi Solution'!N22</f>
        <v>140</v>
      </c>
      <c r="Q22" s="11">
        <f>'M7_24 Gams Solution '!N22</f>
        <v>140.00000000004741</v>
      </c>
      <c r="S22" s="40">
        <f>'M7_24 Gams Solution '!U22-'M7_24 Gurobi Solution'!U22</f>
        <v>0</v>
      </c>
      <c r="T22" s="40">
        <f>'M7_24 Gams Solution '!X22-'M7_24 Gurobi Solution'!X22</f>
        <v>0</v>
      </c>
      <c r="U22" s="40">
        <f>'M7_24 Gams Solution '!Y22-'M7_24 Gurobi Solution'!Y22</f>
        <v>0</v>
      </c>
      <c r="V22" s="44">
        <f>'M7_24 Gams Solution '!Z22-'M7_24 Gurobi Solution'!Z22</f>
        <v>2.9029223469478893E-11</v>
      </c>
      <c r="W22" s="44">
        <f>'M7_24 Gams Solution '!AA22-'M7_24 Gurobi Solution'!AA22</f>
        <v>2.5579538487363607E-13</v>
      </c>
      <c r="X22" s="33">
        <f>'M7_24 Gams Solution '!AB22-'M7_24 Gurobi Solution'!AB22</f>
        <v>-3.4638958368304884E-14</v>
      </c>
      <c r="Y22" s="33">
        <f>'M7_24 Gams Solution '!AC22-'M7_24 Gurobi Solution'!AC22</f>
        <v>1.4033219031261979E-12</v>
      </c>
      <c r="Z22" s="33">
        <f>'M7_24 Gams Solution '!AD22-'M7_24 Gurobi Solution'!AD22</f>
        <v>0</v>
      </c>
      <c r="AA22" s="33">
        <f>'M7_24 Gams Solution '!AE22-'M7_24 Gurobi Solution'!AE22</f>
        <v>0</v>
      </c>
      <c r="AB22" s="33">
        <f>'M7_24 Gams Solution '!AF22-'M7_24 Gurobi Solution'!AF22</f>
        <v>0</v>
      </c>
    </row>
    <row r="23" spans="4:28" x14ac:dyDescent="0.2">
      <c r="D23">
        <v>3</v>
      </c>
      <c r="E23" s="42">
        <f>'M7_24 Gams Solution '!E23-'M7_24 Gurobi Solution'!E23</f>
        <v>-9.9475983006414026E-14</v>
      </c>
      <c r="F23" s="42">
        <f>'M7_24 Gams Solution '!F23-'M7_24 Gurobi Solution'!F23</f>
        <v>0</v>
      </c>
      <c r="G23" s="42">
        <f>'M7_24 Gams Solution '!G23-'M7_24 Gurobi Solution'!G23</f>
        <v>0</v>
      </c>
      <c r="H23" s="42">
        <f>'M7_24 Gams Solution '!H23-'M7_24 Gurobi Solution'!H23</f>
        <v>2.1238036638582608E-11</v>
      </c>
      <c r="I23" s="42">
        <f>'M7_24 Gams Solution '!I23-'M7_24 Gurobi Solution'!I23</f>
        <v>-1.4210854715202004E-11</v>
      </c>
      <c r="J23" s="42">
        <f>'M7_24 Gams Solution '!J23-'M7_24 Gurobi Solution'!J23</f>
        <v>0</v>
      </c>
      <c r="K23" s="42">
        <f>'M7_24 Gams Solution '!K23-'M7_24 Gurobi Solution'!K23</f>
        <v>0</v>
      </c>
      <c r="L23" s="42">
        <f>'M7_24 Gams Solution '!L23-'M7_24 Gurobi Solution'!L23</f>
        <v>1.4317361351191499E-11</v>
      </c>
      <c r="M23" s="42">
        <f>'M7_24 Gams Solution '!M23-'M7_24 Gurobi Solution'!M23</f>
        <v>1.000017846308765E-10</v>
      </c>
      <c r="N23" s="42">
        <f>'M7_24 Gams Solution '!N23-'M7_24 Gurobi Solution'!N23</f>
        <v>3.220179678464774E-11</v>
      </c>
      <c r="P23" s="11">
        <f>'M7_24 Gurobi Solution'!N23</f>
        <v>140</v>
      </c>
      <c r="Q23" s="11">
        <f>'M7_24 Gams Solution '!N23</f>
        <v>140.0000000000322</v>
      </c>
      <c r="S23" s="40">
        <f>'M7_24 Gams Solution '!U23-'M7_24 Gurobi Solution'!U23</f>
        <v>0</v>
      </c>
      <c r="T23" s="40">
        <f>'M7_24 Gams Solution '!X23-'M7_24 Gurobi Solution'!X23</f>
        <v>0</v>
      </c>
      <c r="U23" s="40">
        <f>'M7_24 Gams Solution '!Y23-'M7_24 Gurobi Solution'!Y23</f>
        <v>0</v>
      </c>
      <c r="V23" s="44">
        <f>'M7_24 Gams Solution '!Z23-'M7_24 Gurobi Solution'!Z23</f>
        <v>2.1138646388862981E-11</v>
      </c>
      <c r="W23" s="44">
        <f>'M7_24 Gams Solution '!AA23-'M7_24 Gurobi Solution'!AA23</f>
        <v>1.1368683772161603E-13</v>
      </c>
      <c r="X23" s="33">
        <f>'M7_24 Gams Solution '!AB23-'M7_24 Gurobi Solution'!AB23</f>
        <v>8.4376949871511897E-15</v>
      </c>
      <c r="Y23" s="33">
        <f>'M7_24 Gams Solution '!AC23-'M7_24 Gurobi Solution'!AC23</f>
        <v>1.2079226507921703E-12</v>
      </c>
      <c r="Z23" s="33">
        <f>'M7_24 Gams Solution '!AD23-'M7_24 Gurobi Solution'!AD23</f>
        <v>0</v>
      </c>
      <c r="AA23" s="33">
        <f>'M7_24 Gams Solution '!AE23-'M7_24 Gurobi Solution'!AE23</f>
        <v>0</v>
      </c>
      <c r="AB23" s="33">
        <f>'M7_24 Gams Solution '!AF23-'M7_24 Gurobi Solution'!AF23</f>
        <v>0</v>
      </c>
    </row>
    <row r="24" spans="4:28" x14ac:dyDescent="0.2">
      <c r="D24">
        <v>4</v>
      </c>
      <c r="E24" s="42">
        <f>'M7_24 Gams Solution '!E24-'M7_24 Gurobi Solution'!E24</f>
        <v>3.979039320256561E-13</v>
      </c>
      <c r="F24" s="42">
        <f>'M7_24 Gams Solution '!F24-'M7_24 Gurobi Solution'!F24</f>
        <v>0</v>
      </c>
      <c r="G24" s="42">
        <f>'M7_24 Gams Solution '!G24-'M7_24 Gurobi Solution'!G24</f>
        <v>0</v>
      </c>
      <c r="H24" s="42">
        <f>'M7_24 Gams Solution '!H24-'M7_24 Gurobi Solution'!H24</f>
        <v>1.765444164963199E-11</v>
      </c>
      <c r="I24" s="42">
        <f>'M7_24 Gams Solution '!I24-'M7_24 Gurobi Solution'!I24</f>
        <v>3.2770230973255821E-10</v>
      </c>
      <c r="J24" s="42">
        <f>'M7_24 Gams Solution '!J24-'M7_24 Gurobi Solution'!J24</f>
        <v>0</v>
      </c>
      <c r="K24" s="42">
        <f>'M7_24 Gams Solution '!K24-'M7_24 Gurobi Solution'!K24</f>
        <v>3.2684965844964609E-10</v>
      </c>
      <c r="L24" s="42">
        <f>'M7_24 Gams Solution '!L24-'M7_24 Gurobi Solution'!L24</f>
        <v>0</v>
      </c>
      <c r="M24" s="42">
        <f>'M7_24 Gams Solution '!M24-'M7_24 Gurobi Solution'!M24</f>
        <v>8.1797679740702733E-11</v>
      </c>
      <c r="N24" s="42">
        <f>'M7_24 Gams Solution '!N24-'M7_24 Gurobi Solution'!N24</f>
        <v>3.3281821743003093E-10</v>
      </c>
      <c r="P24" s="11">
        <f>'M7_24 Gurobi Solution'!N24</f>
        <v>445.963765538865</v>
      </c>
      <c r="Q24" s="11">
        <f>'M7_24 Gams Solution '!N24</f>
        <v>445.96376553919782</v>
      </c>
      <c r="S24" s="40">
        <f>'M7_24 Gams Solution '!U24-'M7_24 Gurobi Solution'!U24</f>
        <v>0</v>
      </c>
      <c r="T24" s="40">
        <f>'M7_24 Gams Solution '!X24-'M7_24 Gurobi Solution'!X24</f>
        <v>0</v>
      </c>
      <c r="U24" s="40">
        <f>'M7_24 Gams Solution '!Y24-'M7_24 Gurobi Solution'!Y24</f>
        <v>0</v>
      </c>
      <c r="V24" s="44">
        <f>'M7_24 Gams Solution '!Z24-'M7_24 Gurobi Solution'!Z24</f>
        <v>1.8051338201985345E-11</v>
      </c>
      <c r="W24" s="44">
        <f>'M7_24 Gams Solution '!AA24-'M7_24 Gurobi Solution'!AA24</f>
        <v>8.5265128291212022E-13</v>
      </c>
      <c r="X24" s="33">
        <f>'M7_24 Gams Solution '!AB24-'M7_24 Gurobi Solution'!AB24</f>
        <v>-3.3084646133829665E-14</v>
      </c>
      <c r="Y24" s="33">
        <f>'M7_24 Gams Solution '!AC24-'M7_24 Gurobi Solution'!AC24</f>
        <v>-2.7291946480545448E-11</v>
      </c>
      <c r="Z24" s="33">
        <f>'M7_24 Gams Solution '!AD24-'M7_24 Gurobi Solution'!AD24</f>
        <v>0</v>
      </c>
      <c r="AA24" s="33">
        <f>'M7_24 Gams Solution '!AE24-'M7_24 Gurobi Solution'!AE24</f>
        <v>0</v>
      </c>
      <c r="AB24" s="33">
        <f>'M7_24 Gams Solution '!AF24-'M7_24 Gurobi Solution'!AF24</f>
        <v>0</v>
      </c>
    </row>
    <row r="25" spans="4:28" x14ac:dyDescent="0.2">
      <c r="D25">
        <v>5</v>
      </c>
      <c r="E25" s="42">
        <f>'M7_24 Gams Solution '!E25-'M7_24 Gurobi Solution'!E25</f>
        <v>9.9475983006414026E-14</v>
      </c>
      <c r="F25" s="42">
        <f>'M7_24 Gams Solution '!F25-'M7_24 Gurobi Solution'!F25</f>
        <v>0</v>
      </c>
      <c r="G25" s="42">
        <f>'M7_24 Gams Solution '!G25-'M7_24 Gurobi Solution'!G25</f>
        <v>0</v>
      </c>
      <c r="H25" s="42">
        <f>'M7_24 Gams Solution '!H25-'M7_24 Gurobi Solution'!H25</f>
        <v>1.7974722557411281E-11</v>
      </c>
      <c r="I25" s="42">
        <f>'M7_24 Gams Solution '!I25-'M7_24 Gurobi Solution'!I25</f>
        <v>-4.7009507397888228E-11</v>
      </c>
      <c r="J25" s="42">
        <f>'M7_24 Gams Solution '!J25-'M7_24 Gurobi Solution'!J25</f>
        <v>0</v>
      </c>
      <c r="K25" s="42">
        <f>'M7_24 Gams Solution '!K25-'M7_24 Gurobi Solution'!K25</f>
        <v>0</v>
      </c>
      <c r="L25" s="42">
        <f>'M7_24 Gams Solution '!L25-'M7_24 Gurobi Solution'!L25</f>
        <v>4.7277012525366677E-11</v>
      </c>
      <c r="M25" s="42">
        <f>'M7_24 Gams Solution '!M25-'M7_24 Gurobi Solution'!M25</f>
        <v>6.3195670918503311E-11</v>
      </c>
      <c r="N25" s="42">
        <f>'M7_24 Gams Solution '!N25-'M7_24 Gurobi Solution'!N25</f>
        <v>2.8302338250796311E-10</v>
      </c>
      <c r="P25" s="11">
        <f>'M7_24 Gurobi Solution'!N25</f>
        <v>445.963765538865</v>
      </c>
      <c r="Q25" s="11">
        <f>'M7_24 Gams Solution '!N25</f>
        <v>445.96376553914803</v>
      </c>
      <c r="S25" s="40">
        <f>'M7_24 Gams Solution '!U25-'M7_24 Gurobi Solution'!U25</f>
        <v>0</v>
      </c>
      <c r="T25" s="40">
        <f>'M7_24 Gams Solution '!X25-'M7_24 Gurobi Solution'!X25</f>
        <v>0</v>
      </c>
      <c r="U25" s="40">
        <f>'M7_24 Gams Solution '!Y25-'M7_24 Gurobi Solution'!Y25</f>
        <v>0</v>
      </c>
      <c r="V25" s="44">
        <f>'M7_24 Gams Solution '!Z25-'M7_24 Gurobi Solution'!Z25</f>
        <v>1.8072654484058148E-11</v>
      </c>
      <c r="W25" s="44">
        <f>'M7_24 Gams Solution '!AA25-'M7_24 Gurobi Solution'!AA25</f>
        <v>2.5579538487363607E-13</v>
      </c>
      <c r="X25" s="33">
        <f>'M7_24 Gams Solution '!AB25-'M7_24 Gurobi Solution'!AB25</f>
        <v>-8.2156503822261584E-15</v>
      </c>
      <c r="Y25" s="33">
        <f>'M7_24 Gams Solution '!AC25-'M7_24 Gurobi Solution'!AC25</f>
        <v>3.922195901395753E-12</v>
      </c>
      <c r="Z25" s="33">
        <f>'M7_24 Gams Solution '!AD25-'M7_24 Gurobi Solution'!AD25</f>
        <v>0</v>
      </c>
      <c r="AA25" s="33">
        <f>'M7_24 Gams Solution '!AE25-'M7_24 Gurobi Solution'!AE25</f>
        <v>0</v>
      </c>
      <c r="AB25" s="33">
        <f>'M7_24 Gams Solution '!AF25-'M7_24 Gurobi Solution'!AF25</f>
        <v>0</v>
      </c>
    </row>
    <row r="26" spans="4:28" x14ac:dyDescent="0.2">
      <c r="D26">
        <v>6</v>
      </c>
      <c r="E26" s="42">
        <f>'M7_24 Gams Solution '!E26-'M7_24 Gurobi Solution'!E26</f>
        <v>-4.0145664570445661E-13</v>
      </c>
      <c r="F26" s="42">
        <f>'M7_24 Gams Solution '!F26-'M7_24 Gurobi Solution'!F26</f>
        <v>0</v>
      </c>
      <c r="G26" s="42">
        <f>'M7_24 Gams Solution '!G26-'M7_24 Gurobi Solution'!G26</f>
        <v>0</v>
      </c>
      <c r="H26" s="42">
        <f>'M7_24 Gams Solution '!H26-'M7_24 Gurobi Solution'!H26</f>
        <v>3.6054857531627952E-11</v>
      </c>
      <c r="I26" s="42">
        <f>'M7_24 Gams Solution '!I26-'M7_24 Gurobi Solution'!I26</f>
        <v>-1.1019096746167634E-10</v>
      </c>
      <c r="J26" s="42">
        <f>'M7_24 Gams Solution '!J26-'M7_24 Gurobi Solution'!J26</f>
        <v>0</v>
      </c>
      <c r="K26" s="42">
        <f>'M7_24 Gams Solution '!K26-'M7_24 Gurobi Solution'!K26</f>
        <v>0</v>
      </c>
      <c r="L26" s="42">
        <f>'M7_24 Gams Solution '!L26-'M7_24 Gurobi Solution'!L26</f>
        <v>1.109136053400323E-10</v>
      </c>
      <c r="M26" s="42">
        <f>'M7_24 Gams Solution '!M26-'M7_24 Gurobi Solution'!M26</f>
        <v>2.6105340111826081E-11</v>
      </c>
      <c r="N26" s="42">
        <f>'M7_24 Gams Solution '!N26-'M7_24 Gurobi Solution'!N26</f>
        <v>1.6700596461305395E-10</v>
      </c>
      <c r="P26" s="11">
        <f>'M7_24 Gurobi Solution'!N26</f>
        <v>445.963765538865</v>
      </c>
      <c r="Q26" s="11">
        <f>'M7_24 Gams Solution '!N26</f>
        <v>445.96376553903201</v>
      </c>
      <c r="S26" s="40">
        <f>'M7_24 Gams Solution '!U26-'M7_24 Gurobi Solution'!U26</f>
        <v>0</v>
      </c>
      <c r="T26" s="40">
        <f>'M7_24 Gams Solution '!X26-'M7_24 Gurobi Solution'!X26</f>
        <v>0</v>
      </c>
      <c r="U26" s="40">
        <f>'M7_24 Gams Solution '!Y26-'M7_24 Gurobi Solution'!Y26</f>
        <v>0</v>
      </c>
      <c r="V26" s="44">
        <f>'M7_24 Gams Solution '!Z26-'M7_24 Gurobi Solution'!Z26</f>
        <v>3.5655034480441827E-11</v>
      </c>
      <c r="W26" s="44">
        <f>'M7_24 Gams Solution '!AA26-'M7_24 Gurobi Solution'!AA26</f>
        <v>7.1054273576010019E-13</v>
      </c>
      <c r="X26" s="33">
        <f>'M7_24 Gams Solution '!AB26-'M7_24 Gurobi Solution'!AB26</f>
        <v>3.5305092183079978E-14</v>
      </c>
      <c r="Y26" s="33">
        <f>'M7_24 Gams Solution '!AC26-'M7_24 Gurobi Solution'!AC26</f>
        <v>9.6918029157677665E-12</v>
      </c>
      <c r="Z26" s="33">
        <f>'M7_24 Gams Solution '!AD26-'M7_24 Gurobi Solution'!AD26</f>
        <v>0</v>
      </c>
      <c r="AA26" s="33">
        <f>'M7_24 Gams Solution '!AE26-'M7_24 Gurobi Solution'!AE26</f>
        <v>0</v>
      </c>
      <c r="AB26" s="33">
        <f>'M7_24 Gams Solution '!AF26-'M7_24 Gurobi Solution'!AF26</f>
        <v>0</v>
      </c>
    </row>
    <row r="27" spans="4:28" x14ac:dyDescent="0.2">
      <c r="D27">
        <v>7</v>
      </c>
      <c r="E27" s="42">
        <f>'M7_24 Gams Solution '!E27-'M7_24 Gurobi Solution'!E27</f>
        <v>0</v>
      </c>
      <c r="F27" s="42">
        <f>'M7_24 Gams Solution '!F27-'M7_24 Gurobi Solution'!F27</f>
        <v>5.6889931642227411E-12</v>
      </c>
      <c r="G27" s="42">
        <f>'M7_24 Gams Solution '!G27-'M7_24 Gurobi Solution'!G27</f>
        <v>0</v>
      </c>
      <c r="H27" s="42">
        <f>'M7_24 Gams Solution '!H27-'M7_24 Gurobi Solution'!H27</f>
        <v>5.6889931642227411E-12</v>
      </c>
      <c r="I27" s="42">
        <f>'M7_24 Gams Solution '!I27-'M7_24 Gurobi Solution'!I27</f>
        <v>0</v>
      </c>
      <c r="J27" s="42">
        <f>'M7_24 Gams Solution '!J27-'M7_24 Gurobi Solution'!J27</f>
        <v>2.674562464606719E-11</v>
      </c>
      <c r="K27" s="42">
        <f>'M7_24 Gams Solution '!K27-'M7_24 Gurobi Solution'!K27</f>
        <v>0</v>
      </c>
      <c r="L27" s="42">
        <f>'M7_24 Gams Solution '!L27-'M7_24 Gurobi Solution'!L27</f>
        <v>2.8194335754960775E-11</v>
      </c>
      <c r="M27" s="42">
        <f>'M7_24 Gams Solution '!M27-'M7_24 Gurobi Solution'!M27</f>
        <v>2.0193624550302047E-11</v>
      </c>
      <c r="N27" s="42">
        <f>'M7_24 Gams Solution '!N27-'M7_24 Gurobi Solution'!N27</f>
        <v>1.3790213415632024E-10</v>
      </c>
      <c r="P27" s="11">
        <f>'M7_24 Gurobi Solution'!N27</f>
        <v>198.43388157041801</v>
      </c>
      <c r="Q27" s="11">
        <f>'M7_24 Gams Solution '!N27</f>
        <v>198.43388157055591</v>
      </c>
      <c r="S27" s="40">
        <f>'M7_24 Gams Solution '!U27-'M7_24 Gurobi Solution'!U27</f>
        <v>1.9201397650323582E-3</v>
      </c>
      <c r="T27" s="40">
        <f>'M7_24 Gams Solution '!X27-'M7_24 Gurobi Solution'!X27</f>
        <v>6.0396132539608516E-14</v>
      </c>
      <c r="U27" s="40">
        <f>'M7_24 Gams Solution '!Y27-'M7_24 Gurobi Solution'!Y27</f>
        <v>0</v>
      </c>
      <c r="V27" s="44">
        <f>'M7_24 Gams Solution '!Z27-'M7_24 Gurobi Solution'!Z27</f>
        <v>-6.2172489379008766E-14</v>
      </c>
      <c r="W27" s="44">
        <f>'M7_24 Gams Solution '!AA27-'M7_24 Gurobi Solution'!AA27</f>
        <v>1.4814816040598089E-12</v>
      </c>
      <c r="X27" s="33">
        <f>'M7_24 Gams Solution '!AB27-'M7_24 Gurobi Solution'!AB27</f>
        <v>4.1999607693038831E-13</v>
      </c>
      <c r="Y27" s="33">
        <f>'M7_24 Gams Solution '!AC27-'M7_24 Gurobi Solution'!AC27</f>
        <v>1.9745246833910799E-12</v>
      </c>
      <c r="Z27" s="32">
        <f>'M7_24 Gams Solution '!AD27-'M7_24 Gurobi Solution'!AD27</f>
        <v>1.929515193981346E-2</v>
      </c>
      <c r="AA27" s="32">
        <f>'M7_24 Gams Solution '!AE27-'M7_24 Gurobi Solution'!AE27</f>
        <v>-1.9295151939813793E-2</v>
      </c>
      <c r="AB27" s="33">
        <f>'M7_24 Gams Solution '!AF27-'M7_24 Gurobi Solution'!AF27</f>
        <v>2.9837243786801082E-16</v>
      </c>
    </row>
    <row r="28" spans="4:28" x14ac:dyDescent="0.2">
      <c r="D28">
        <v>8</v>
      </c>
      <c r="E28" s="42">
        <f>'M7_24 Gams Solution '!E28-'M7_24 Gurobi Solution'!E28</f>
        <v>0</v>
      </c>
      <c r="F28" s="42">
        <f>'M7_24 Gams Solution '!F28-'M7_24 Gurobi Solution'!F28</f>
        <v>7.4506793743418223E-12</v>
      </c>
      <c r="G28" s="42">
        <f>'M7_24 Gams Solution '!G28-'M7_24 Gurobi Solution'!G28</f>
        <v>0</v>
      </c>
      <c r="H28" s="42">
        <f>'M7_24 Gams Solution '!H28-'M7_24 Gurobi Solution'!H28</f>
        <v>7.4506793743418223E-12</v>
      </c>
      <c r="I28" s="42">
        <f>'M7_24 Gams Solution '!I28-'M7_24 Gurobi Solution'!I28</f>
        <v>0</v>
      </c>
      <c r="J28" s="42">
        <f>'M7_24 Gams Solution '!J28-'M7_24 Gurobi Solution'!J28</f>
        <v>3.7879590177698162E-11</v>
      </c>
      <c r="K28" s="42">
        <f>'M7_24 Gams Solution '!K28-'M7_24 Gurobi Solution'!K28</f>
        <v>0</v>
      </c>
      <c r="L28" s="42">
        <f>'M7_24 Gams Solution '!L28-'M7_24 Gurobi Solution'!L28</f>
        <v>3.7928771234874148E-11</v>
      </c>
      <c r="M28" s="42">
        <f>'M7_24 Gams Solution '!M28-'M7_24 Gurobi Solution'!M28</f>
        <v>1.2505552149377763E-11</v>
      </c>
      <c r="N28" s="42">
        <f>'M7_24 Gams Solution '!N28-'M7_24 Gurobi Solution'!N28</f>
        <v>9.7600150184007362E-11</v>
      </c>
      <c r="P28" s="11">
        <f>'M7_24 Gurobi Solution'!N28</f>
        <v>140</v>
      </c>
      <c r="Q28" s="11">
        <f>'M7_24 Gams Solution '!N28</f>
        <v>140.0000000000976</v>
      </c>
      <c r="S28" s="40">
        <f>'M7_24 Gams Solution '!U28-'M7_24 Gurobi Solution'!U28</f>
        <v>6.0285281589980283E-3</v>
      </c>
      <c r="T28" s="40">
        <f>'M7_24 Gams Solution '!X28-'M7_24 Gurobi Solution'!X28</f>
        <v>0</v>
      </c>
      <c r="U28" s="40">
        <f>'M7_24 Gams Solution '!Y28-'M7_24 Gurobi Solution'!Y28</f>
        <v>0</v>
      </c>
      <c r="V28" s="44">
        <f>'M7_24 Gams Solution '!Z28-'M7_24 Gurobi Solution'!Z28</f>
        <v>0</v>
      </c>
      <c r="W28" s="44">
        <f>'M7_24 Gams Solution '!AA28-'M7_24 Gurobi Solution'!AA28</f>
        <v>0</v>
      </c>
      <c r="X28" s="33">
        <f>'M7_24 Gams Solution '!AB28-'M7_24 Gurobi Solution'!AB28</f>
        <v>5.6736025271524052E-13</v>
      </c>
      <c r="Y28" s="33">
        <f>'M7_24 Gams Solution '!AC28-'M7_24 Gurobi Solution'!AC28</f>
        <v>2.8844851289641055E-12</v>
      </c>
      <c r="Z28" s="32">
        <f>'M7_24 Gams Solution '!AD28-'M7_24 Gurobi Solution'!AD28</f>
        <v>0.5669505443792815</v>
      </c>
      <c r="AA28" s="32">
        <f>'M7_24 Gams Solution '!AE28-'M7_24 Gurobi Solution'!AE28</f>
        <v>-0.56695054437928061</v>
      </c>
      <c r="AB28" s="33">
        <f>'M7_24 Gams Solution '!AF28-'M7_24 Gurobi Solution'!AF28</f>
        <v>0</v>
      </c>
    </row>
    <row r="29" spans="4:28" x14ac:dyDescent="0.2">
      <c r="D29">
        <v>9</v>
      </c>
      <c r="E29" s="42">
        <f>'M7_24 Gams Solution '!E29-'M7_24 Gurobi Solution'!E29</f>
        <v>0</v>
      </c>
      <c r="F29" s="42">
        <f>'M7_24 Gams Solution '!F29-'M7_24 Gurobi Solution'!F29</f>
        <v>4.6729527435130963E-12</v>
      </c>
      <c r="G29" s="42">
        <f>'M7_24 Gams Solution '!G29-'M7_24 Gurobi Solution'!G29</f>
        <v>0</v>
      </c>
      <c r="H29" s="42">
        <f>'M7_24 Gams Solution '!H29-'M7_24 Gurobi Solution'!H29</f>
        <v>4.6729527435130963E-12</v>
      </c>
      <c r="I29" s="42">
        <f>'M7_24 Gams Solution '!I29-'M7_24 Gurobi Solution'!I29</f>
        <v>-8.7418072780565126E-11</v>
      </c>
      <c r="J29" s="42">
        <f>'M7_24 Gams Solution '!J29-'M7_24 Gurobi Solution'!J29</f>
        <v>0</v>
      </c>
      <c r="K29" s="42">
        <f>'M7_24 Gams Solution '!K29-'M7_24 Gurobi Solution'!K29</f>
        <v>0</v>
      </c>
      <c r="L29" s="42">
        <f>'M7_24 Gams Solution '!L29-'M7_24 Gurobi Solution'!L29</f>
        <v>8.741956466985952E-11</v>
      </c>
      <c r="M29" s="42">
        <f>'M7_24 Gams Solution '!M29-'M7_24 Gurobi Solution'!M29</f>
        <v>7.702283255639486E-12</v>
      </c>
      <c r="N29" s="42">
        <f>'M7_24 Gams Solution '!N29-'M7_24 Gurobi Solution'!N29</f>
        <v>5.5990767577895895E-12</v>
      </c>
      <c r="P29" s="11">
        <f>'M7_24 Gurobi Solution'!N29</f>
        <v>140</v>
      </c>
      <c r="Q29" s="11">
        <f>'M7_24 Gams Solution '!N29</f>
        <v>140.0000000000056</v>
      </c>
      <c r="S29" s="40">
        <f>'M7_24 Gams Solution '!U29-'M7_24 Gurobi Solution'!U29</f>
        <v>3.4144785500742625E-3</v>
      </c>
      <c r="T29" s="40">
        <f>'M7_24 Gams Solution '!X29-'M7_24 Gurobi Solution'!X29</f>
        <v>0</v>
      </c>
      <c r="U29" s="40">
        <f>'M7_24 Gams Solution '!Y29-'M7_24 Gurobi Solution'!Y29</f>
        <v>0</v>
      </c>
      <c r="V29" s="44">
        <f>'M7_24 Gams Solution '!Z29-'M7_24 Gurobi Solution'!Z29</f>
        <v>0</v>
      </c>
      <c r="W29" s="44">
        <f>'M7_24 Gams Solution '!AA29-'M7_24 Gurobi Solution'!AA29</f>
        <v>0</v>
      </c>
      <c r="X29" s="33">
        <f>'M7_24 Gams Solution '!AB29-'M7_24 Gurobi Solution'!AB29</f>
        <v>3.242221359290917E-13</v>
      </c>
      <c r="Y29" s="33">
        <f>'M7_24 Gams Solution '!AC29-'M7_24 Gurobi Solution'!AC29</f>
        <v>7.90767451519514E-12</v>
      </c>
      <c r="Z29" s="33">
        <f>'M7_24 Gams Solution '!AD29-'M7_24 Gurobi Solution'!AD29</f>
        <v>2.4911237055155855E-2</v>
      </c>
      <c r="AA29" s="33">
        <f>'M7_24 Gams Solution '!AE29-'M7_24 Gurobi Solution'!AE29</f>
        <v>-2.4911237055155855E-2</v>
      </c>
      <c r="AB29" s="33">
        <f>'M7_24 Gams Solution '!AF29-'M7_24 Gurobi Solution'!AF29</f>
        <v>0</v>
      </c>
    </row>
    <row r="30" spans="4:28" x14ac:dyDescent="0.2">
      <c r="D30">
        <v>10</v>
      </c>
      <c r="E30" s="42">
        <f>'M7_24 Gams Solution '!E30-'M7_24 Gurobi Solution'!E30</f>
        <v>0</v>
      </c>
      <c r="F30" s="42">
        <f>'M7_24 Gams Solution '!F30-'M7_24 Gurobi Solution'!F30</f>
        <v>6.2370997310021853E-11</v>
      </c>
      <c r="G30" s="42">
        <f>'M7_24 Gams Solution '!G30-'M7_24 Gurobi Solution'!G30</f>
        <v>-6.2392757627094397E-11</v>
      </c>
      <c r="H30" s="42">
        <f>'M7_24 Gams Solution '!H30-'M7_24 Gurobi Solution'!H30</f>
        <v>0</v>
      </c>
      <c r="I30" s="42">
        <f>'M7_24 Gams Solution '!I30-'M7_24 Gurobi Solution'!I30</f>
        <v>0</v>
      </c>
      <c r="J30" s="42">
        <f>'M7_24 Gams Solution '!J30-'M7_24 Gurobi Solution'!J30</f>
        <v>2.4385772763070579E-10</v>
      </c>
      <c r="K30" s="42">
        <f>'M7_24 Gams Solution '!K30-'M7_24 Gurobi Solution'!K30</f>
        <v>-2.4380142349400558E-10</v>
      </c>
      <c r="L30" s="42">
        <f>'M7_24 Gams Solution '!L30-'M7_24 Gurobi Solution'!L30</f>
        <v>0</v>
      </c>
      <c r="M30" s="42">
        <f>'M7_24 Gams Solution '!M30-'M7_24 Gurobi Solution'!M30</f>
        <v>-5.0306425691815093E-11</v>
      </c>
      <c r="N30" s="42">
        <f>'M7_24 Gams Solution '!N30-'M7_24 Gurobi Solution'!N30</f>
        <v>-2.1907453628955409E-10</v>
      </c>
      <c r="P30" s="11">
        <f>'M7_24 Gurobi Solution'!N30</f>
        <v>234.92649574081199</v>
      </c>
      <c r="Q30" s="11">
        <f>'M7_24 Gams Solution '!N30</f>
        <v>234.92649574059291</v>
      </c>
      <c r="S30" s="40">
        <f>'M7_24 Gams Solution '!U30-'M7_24 Gurobi Solution'!U30</f>
        <v>0</v>
      </c>
      <c r="T30" s="40">
        <f>'M7_24 Gams Solution '!X30-'M7_24 Gurobi Solution'!X30</f>
        <v>0</v>
      </c>
      <c r="U30" s="40">
        <f>'M7_24 Gams Solution '!Y30-'M7_24 Gurobi Solution'!Y30</f>
        <v>0</v>
      </c>
      <c r="V30" s="44">
        <f>'M7_24 Gams Solution '!Z30-'M7_24 Gurobi Solution'!Z30</f>
        <v>2.8421709430404007E-14</v>
      </c>
      <c r="W30" s="44">
        <f>'M7_24 Gams Solution '!AA30-'M7_24 Gurobi Solution'!AA30</f>
        <v>-5.6843418860808015E-14</v>
      </c>
      <c r="X30" s="33">
        <f>'M7_24 Gams Solution '!AB30-'M7_24 Gurobi Solution'!AB30</f>
        <v>3.540182933700192E-12</v>
      </c>
      <c r="Y30" s="33">
        <f>'M7_24 Gams Solution '!AC30-'M7_24 Gurobi Solution'!AC30</f>
        <v>1.3841384663419804E-11</v>
      </c>
      <c r="Z30" s="33">
        <f>'M7_24 Gams Solution '!AD30-'M7_24 Gurobi Solution'!AD30</f>
        <v>0</v>
      </c>
      <c r="AA30" s="33">
        <f>'M7_24 Gams Solution '!AE30-'M7_24 Gurobi Solution'!AE30</f>
        <v>0</v>
      </c>
      <c r="AB30" s="33">
        <f>'M7_24 Gams Solution '!AF30-'M7_24 Gurobi Solution'!AF30</f>
        <v>0</v>
      </c>
    </row>
    <row r="31" spans="4:28" x14ac:dyDescent="0.2">
      <c r="D31">
        <v>11</v>
      </c>
      <c r="E31" s="42">
        <f>'M7_24 Gams Solution '!E31-'M7_24 Gurobi Solution'!E31</f>
        <v>0</v>
      </c>
      <c r="F31" s="42">
        <f>'M7_24 Gams Solution '!F31-'M7_24 Gurobi Solution'!F31</f>
        <v>4.1836730965433971E-11</v>
      </c>
      <c r="G31" s="42">
        <f>'M7_24 Gams Solution '!G31-'M7_24 Gurobi Solution'!G31</f>
        <v>-4.1097791836364195E-11</v>
      </c>
      <c r="H31" s="42">
        <f>'M7_24 Gams Solution '!H31-'M7_24 Gurobi Solution'!H31</f>
        <v>0</v>
      </c>
      <c r="I31" s="42">
        <f>'M7_24 Gams Solution '!I31-'M7_24 Gurobi Solution'!I31</f>
        <v>0</v>
      </c>
      <c r="J31" s="42">
        <f>'M7_24 Gams Solution '!J31-'M7_24 Gurobi Solution'!J31</f>
        <v>6.8423084160899351E-11</v>
      </c>
      <c r="K31" s="42">
        <f>'M7_24 Gams Solution '!K31-'M7_24 Gurobi Solution'!K31</f>
        <v>-7.1594286055187695E-11</v>
      </c>
      <c r="L31" s="42">
        <f>'M7_24 Gams Solution '!L31-'M7_24 Gurobi Solution'!L31</f>
        <v>0</v>
      </c>
      <c r="M31" s="42">
        <f>'M7_24 Gams Solution '!M31-'M7_24 Gurobi Solution'!M31</f>
        <v>-8.8391516328556463E-11</v>
      </c>
      <c r="N31" s="42">
        <f>'M7_24 Gams Solution '!N31-'M7_24 Gurobi Solution'!N31</f>
        <v>-2.9967850423417985E-10</v>
      </c>
      <c r="P31" s="11">
        <f>'M7_24 Gurobi Solution'!N31</f>
        <v>404.705038525784</v>
      </c>
      <c r="Q31" s="11">
        <f>'M7_24 Gams Solution '!N31</f>
        <v>404.70503852548433</v>
      </c>
      <c r="S31" s="40">
        <f>'M7_24 Gams Solution '!U31-'M7_24 Gurobi Solution'!U31</f>
        <v>0</v>
      </c>
      <c r="T31" s="40">
        <f>'M7_24 Gams Solution '!X31-'M7_24 Gurobi Solution'!X31</f>
        <v>0</v>
      </c>
      <c r="U31" s="40">
        <f>'M7_24 Gams Solution '!Y31-'M7_24 Gurobi Solution'!Y31</f>
        <v>0</v>
      </c>
      <c r="V31" s="44">
        <f>'M7_24 Gams Solution '!Z31-'M7_24 Gurobi Solution'!Z31</f>
        <v>-7.3896444519050419E-13</v>
      </c>
      <c r="W31" s="44">
        <f>'M7_24 Gams Solution '!AA31-'M7_24 Gurobi Solution'!AA31</f>
        <v>3.1263880373444408E-12</v>
      </c>
      <c r="X31" s="33">
        <f>'M7_24 Gams Solution '!AB31-'M7_24 Gurobi Solution'!AB31</f>
        <v>1.9642081559555703E-12</v>
      </c>
      <c r="Y31" s="33">
        <f>'M7_24 Gams Solution '!AC31-'M7_24 Gurobi Solution'!AC31</f>
        <v>3.2124206854381984E-12</v>
      </c>
      <c r="Z31" s="33">
        <f>'M7_24 Gams Solution '!AD31-'M7_24 Gurobi Solution'!AD31</f>
        <v>0</v>
      </c>
      <c r="AA31" s="33">
        <f>'M7_24 Gams Solution '!AE31-'M7_24 Gurobi Solution'!AE31</f>
        <v>0</v>
      </c>
      <c r="AB31" s="33">
        <f>'M7_24 Gams Solution '!AF31-'M7_24 Gurobi Solution'!AF31</f>
        <v>0</v>
      </c>
    </row>
    <row r="32" spans="4:28" x14ac:dyDescent="0.2">
      <c r="D32">
        <v>12</v>
      </c>
      <c r="E32" s="42">
        <f>'M7_24 Gams Solution '!E32-'M7_24 Gurobi Solution'!E32</f>
        <v>0</v>
      </c>
      <c r="F32" s="42">
        <f>'M7_24 Gams Solution '!F32-'M7_24 Gurobi Solution'!F32</f>
        <v>0</v>
      </c>
      <c r="G32" s="42">
        <f>'M7_24 Gams Solution '!G32-'M7_24 Gurobi Solution'!G32</f>
        <v>9.4991037258296274E-10</v>
      </c>
      <c r="H32" s="42">
        <f>'M7_24 Gams Solution '!H32-'M7_24 Gurobi Solution'!H32</f>
        <v>0</v>
      </c>
      <c r="I32" s="42">
        <f>'M7_24 Gams Solution '!I32-'M7_24 Gurobi Solution'!I32</f>
        <v>0</v>
      </c>
      <c r="J32" s="42">
        <f>'M7_24 Gams Solution '!J32-'M7_24 Gurobi Solution'!J32</f>
        <v>3.6849291745408043E-11</v>
      </c>
      <c r="K32" s="42">
        <f>'M7_24 Gams Solution '!K32-'M7_24 Gurobi Solution'!K32</f>
        <v>-3.2883917810977437E-11</v>
      </c>
      <c r="L32" s="42">
        <f>'M7_24 Gams Solution '!L32-'M7_24 Gurobi Solution'!L32</f>
        <v>0</v>
      </c>
      <c r="M32" s="42">
        <f>'M7_24 Gams Solution '!M32-'M7_24 Gurobi Solution'!M32</f>
        <v>7.9342044045915827E-10</v>
      </c>
      <c r="N32" s="42">
        <f>'M7_24 Gams Solution '!N32-'M7_24 Gurobi Solution'!N32</f>
        <v>-3.2969182939268649E-10</v>
      </c>
      <c r="P32" s="11">
        <f>'M7_24 Gurobi Solution'!N32</f>
        <v>608.49023591067998</v>
      </c>
      <c r="Q32" s="11">
        <f>'M7_24 Gams Solution '!N32</f>
        <v>608.49023591035029</v>
      </c>
      <c r="S32" s="40">
        <f>'M7_24 Gams Solution '!U32-'M7_24 Gurobi Solution'!U32</f>
        <v>0</v>
      </c>
      <c r="T32" s="40">
        <f>'M7_24 Gams Solution '!X32-'M7_24 Gurobi Solution'!X32</f>
        <v>0</v>
      </c>
      <c r="U32" s="40">
        <f>'M7_24 Gams Solution '!Y32-'M7_24 Gurobi Solution'!Y32</f>
        <v>0</v>
      </c>
      <c r="V32" s="44">
        <f>'M7_24 Gams Solution '!Z32-'M7_24 Gurobi Solution'!Z32</f>
        <v>-9.4991037258296274E-10</v>
      </c>
      <c r="W32" s="44">
        <f>'M7_24 Gams Solution '!AA32-'M7_24 Gurobi Solution'!AA32</f>
        <v>-3.922195901395753E-12</v>
      </c>
      <c r="X32" s="33">
        <f>'M7_24 Gams Solution '!AB32-'M7_24 Gurobi Solution'!AB32</f>
        <v>0</v>
      </c>
      <c r="Y32" s="33">
        <f>'M7_24 Gams Solution '!AC32-'M7_24 Gurobi Solution'!AC32</f>
        <v>1.5420227207585257E-12</v>
      </c>
      <c r="Z32" s="33">
        <f>'M7_24 Gams Solution '!AD32-'M7_24 Gurobi Solution'!AD32</f>
        <v>0</v>
      </c>
      <c r="AA32" s="33">
        <f>'M7_24 Gams Solution '!AE32-'M7_24 Gurobi Solution'!AE32</f>
        <v>0</v>
      </c>
      <c r="AB32" s="33">
        <f>'M7_24 Gams Solution '!AF32-'M7_24 Gurobi Solution'!AF32</f>
        <v>0</v>
      </c>
    </row>
    <row r="33" spans="4:28" x14ac:dyDescent="0.2">
      <c r="D33">
        <v>13</v>
      </c>
      <c r="E33" s="42">
        <f>'M7_24 Gams Solution '!E33-'M7_24 Gurobi Solution'!E33</f>
        <v>-3.979039320256561E-13</v>
      </c>
      <c r="F33" s="42">
        <f>'M7_24 Gams Solution '!F33-'M7_24 Gurobi Solution'!F33</f>
        <v>0</v>
      </c>
      <c r="G33" s="42">
        <f>'M7_24 Gams Solution '!G33-'M7_24 Gurobi Solution'!G33</f>
        <v>-5.6729732023086399E-10</v>
      </c>
      <c r="H33" s="42">
        <f>'M7_24 Gams Solution '!H33-'M7_24 Gurobi Solution'!H33</f>
        <v>0</v>
      </c>
      <c r="I33" s="43">
        <f>'M7_24 Gams Solution '!I33-'M7_24 Gurobi Solution'!I33</f>
        <v>88.679100001258917</v>
      </c>
      <c r="J33" s="42">
        <f>'M7_24 Gams Solution '!J33-'M7_24 Gurobi Solution'!J33</f>
        <v>0</v>
      </c>
      <c r="K33" s="43">
        <f>'M7_24 Gams Solution '!K33-'M7_24 Gurobi Solution'!K33</f>
        <v>88.679100001258234</v>
      </c>
      <c r="L33" s="42">
        <f>'M7_24 Gams Solution '!L33-'M7_24 Gurobi Solution'!L33</f>
        <v>0</v>
      </c>
      <c r="M33" s="42">
        <f>'M7_24 Gams Solution '!M33-'M7_24 Gurobi Solution'!M33</f>
        <v>2.6591351343085989E-10</v>
      </c>
      <c r="N33" s="43">
        <f>'M7_24 Gams Solution '!N33-'M7_24 Gurobi Solution'!N33</f>
        <v>81.584772000833937</v>
      </c>
      <c r="P33" s="11">
        <f>'M7_24 Gurobi Solution'!N33</f>
        <v>1120.5305917865101</v>
      </c>
      <c r="Q33" s="11">
        <f>'M7_24 Gams Solution '!N33</f>
        <v>1202.115363787344</v>
      </c>
      <c r="S33" s="40">
        <f>'M7_24 Gams Solution '!U33-'M7_24 Gurobi Solution'!U33</f>
        <v>0</v>
      </c>
      <c r="T33" s="40">
        <f>'M7_24 Gams Solution '!X33-'M7_24 Gurobi Solution'!X33</f>
        <v>0</v>
      </c>
      <c r="U33" s="40">
        <f>'M7_24 Gams Solution '!Y33-'M7_24 Gurobi Solution'!Y33</f>
        <v>0</v>
      </c>
      <c r="V33" s="44">
        <f>'M7_24 Gams Solution '!Z33-'M7_24 Gurobi Solution'!Z33</f>
        <v>5.6695625971769914E-10</v>
      </c>
      <c r="W33" s="44">
        <f>'M7_24 Gams Solution '!AA33-'M7_24 Gurobi Solution'!AA33</f>
        <v>7.9580786405131221E-13</v>
      </c>
      <c r="X33" s="33">
        <f>'M7_24 Gams Solution '!AB33-'M7_24 Gurobi Solution'!AB33</f>
        <v>2.4868995751603507E-14</v>
      </c>
      <c r="Y33" s="39">
        <f>'M7_24 Gams Solution '!AC33-'M7_24 Gurobi Solution'!AC33</f>
        <v>-5.4789826327841489</v>
      </c>
      <c r="Z33" s="33">
        <f>'M7_24 Gams Solution '!AD33-'M7_24 Gurobi Solution'!AD33</f>
        <v>0</v>
      </c>
      <c r="AA33" s="33">
        <f>'M7_24 Gams Solution '!AE33-'M7_24 Gurobi Solution'!AE33</f>
        <v>0</v>
      </c>
      <c r="AB33" s="33">
        <f>'M7_24 Gams Solution '!AF33-'M7_24 Gurobi Solution'!AF33</f>
        <v>0</v>
      </c>
    </row>
    <row r="34" spans="4:28" x14ac:dyDescent="0.2">
      <c r="D34">
        <v>14</v>
      </c>
      <c r="E34" s="42">
        <f>'M7_24 Gams Solution '!E34-'M7_24 Gurobi Solution'!E34</f>
        <v>0</v>
      </c>
      <c r="F34" s="42">
        <f>'M7_24 Gams Solution '!F34-'M7_24 Gurobi Solution'!F34</f>
        <v>0</v>
      </c>
      <c r="G34" s="42">
        <f>'M7_24 Gams Solution '!G34-'M7_24 Gurobi Solution'!G34</f>
        <v>-1.5199930203380063E-10</v>
      </c>
      <c r="H34" s="42">
        <f>'M7_24 Gams Solution '!H34-'M7_24 Gurobi Solution'!H34</f>
        <v>0</v>
      </c>
      <c r="I34" s="43">
        <f>'M7_24 Gams Solution '!I34-'M7_24 Gurobi Solution'!I34</f>
        <v>-88.679100000016206</v>
      </c>
      <c r="J34" s="42">
        <f>'M7_24 Gams Solution '!J34-'M7_24 Gurobi Solution'!J34</f>
        <v>0</v>
      </c>
      <c r="K34" s="43">
        <f>'M7_24 Gams Solution '!K34-'M7_24 Gurobi Solution'!K34</f>
        <v>-88.679100000016092</v>
      </c>
      <c r="L34" s="42">
        <f>'M7_24 Gams Solution '!L34-'M7_24 Gurobi Solution'!L34</f>
        <v>0</v>
      </c>
      <c r="M34" s="42">
        <f>'M7_24 Gams Solution '!M34-'M7_24 Gurobi Solution'!M34</f>
        <v>1.3210410543251783E-10</v>
      </c>
      <c r="N34" s="42">
        <f>'M7_24 Gams Solution '!N34-'M7_24 Gurobi Solution'!N34</f>
        <v>8.1786311056930572E-10</v>
      </c>
      <c r="P34" s="11">
        <f>'M7_24 Gurobi Solution'!N34</f>
        <v>1881.0766856006901</v>
      </c>
      <c r="Q34" s="11">
        <f>'M7_24 Gams Solution '!N34</f>
        <v>1881.076685601508</v>
      </c>
      <c r="S34" s="40">
        <f>'M7_24 Gams Solution '!U34-'M7_24 Gurobi Solution'!U34</f>
        <v>0</v>
      </c>
      <c r="T34" s="40">
        <f>'M7_24 Gams Solution '!X34-'M7_24 Gurobi Solution'!X34</f>
        <v>0</v>
      </c>
      <c r="U34" s="40">
        <f>'M7_24 Gams Solution '!Y34-'M7_24 Gurobi Solution'!Y34</f>
        <v>0</v>
      </c>
      <c r="V34" s="44">
        <f>'M7_24 Gams Solution '!Z34-'M7_24 Gurobi Solution'!Z34</f>
        <v>1.5199930203380063E-10</v>
      </c>
      <c r="W34" s="44">
        <f>'M7_24 Gams Solution '!AA34-'M7_24 Gurobi Solution'!AA34</f>
        <v>0</v>
      </c>
      <c r="X34" s="33">
        <f>'M7_24 Gams Solution '!AB34-'M7_24 Gurobi Solution'!AB34</f>
        <v>0</v>
      </c>
      <c r="Y34" s="33">
        <f>'M7_24 Gams Solution '!AC34-'M7_24 Gurobi Solution'!AC34</f>
        <v>5.3274652794909088</v>
      </c>
      <c r="Z34" s="33">
        <f>'M7_24 Gams Solution '!AD34-'M7_24 Gurobi Solution'!AD34</f>
        <v>0</v>
      </c>
      <c r="AA34" s="33">
        <f>'M7_24 Gams Solution '!AE34-'M7_24 Gurobi Solution'!AE34</f>
        <v>0</v>
      </c>
      <c r="AB34" s="33">
        <f>'M7_24 Gams Solution '!AF34-'M7_24 Gurobi Solution'!AF34</f>
        <v>0</v>
      </c>
    </row>
    <row r="35" spans="4:28" x14ac:dyDescent="0.2">
      <c r="D35">
        <v>15</v>
      </c>
      <c r="E35" s="42">
        <f>'M7_24 Gams Solution '!E35-'M7_24 Gurobi Solution'!E35</f>
        <v>0</v>
      </c>
      <c r="F35" s="42">
        <f>'M7_24 Gams Solution '!F35-'M7_24 Gurobi Solution'!F35</f>
        <v>0</v>
      </c>
      <c r="G35" s="42">
        <f>'M7_24 Gams Solution '!G35-'M7_24 Gurobi Solution'!G35</f>
        <v>-1.3307044355315156E-10</v>
      </c>
      <c r="H35" s="42">
        <f>'M7_24 Gams Solution '!H35-'M7_24 Gurobi Solution'!H35</f>
        <v>0</v>
      </c>
      <c r="I35" s="42">
        <f>'M7_24 Gams Solution '!I35-'M7_24 Gurobi Solution'!I35</f>
        <v>-3.8397729440475814E-10</v>
      </c>
      <c r="J35" s="42">
        <f>'M7_24 Gams Solution '!J35-'M7_24 Gurobi Solution'!J35</f>
        <v>0</v>
      </c>
      <c r="K35" s="42">
        <f>'M7_24 Gams Solution '!K35-'M7_24 Gurobi Solution'!K35</f>
        <v>-3.8329517337842844E-10</v>
      </c>
      <c r="L35" s="42">
        <f>'M7_24 Gams Solution '!L35-'M7_24 Gurobi Solution'!L35</f>
        <v>0</v>
      </c>
      <c r="M35" s="42">
        <f>'M7_24 Gams Solution '!M35-'M7_24 Gurobi Solution'!M35</f>
        <v>4.0927261579781771E-12</v>
      </c>
      <c r="N35" s="42">
        <f>'M7_24 Gams Solution '!N35-'M7_24 Gurobi Solution'!N35</f>
        <v>4.638422979041934E-10</v>
      </c>
      <c r="P35" s="11">
        <f>'M7_24 Gurobi Solution'!N35</f>
        <v>2323.3226700679402</v>
      </c>
      <c r="Q35" s="11">
        <f>'M7_24 Gams Solution '!N35</f>
        <v>2323.322670068404</v>
      </c>
      <c r="S35" s="40">
        <f>'M7_24 Gams Solution '!U35-'M7_24 Gurobi Solution'!U35</f>
        <v>0</v>
      </c>
      <c r="T35" s="40">
        <f>'M7_24 Gams Solution '!X35-'M7_24 Gurobi Solution'!X35</f>
        <v>0</v>
      </c>
      <c r="U35" s="40">
        <f>'M7_24 Gams Solution '!Y35-'M7_24 Gurobi Solution'!Y35</f>
        <v>0</v>
      </c>
      <c r="V35" s="44">
        <f>'M7_24 Gams Solution '!Z35-'M7_24 Gurobi Solution'!Z35</f>
        <v>1.3307044355315156E-10</v>
      </c>
      <c r="W35" s="44">
        <f>'M7_24 Gams Solution '!AA35-'M7_24 Gurobi Solution'!AA35</f>
        <v>-6.2527760746888816E-13</v>
      </c>
      <c r="X35" s="33">
        <f>'M7_24 Gams Solution '!AB35-'M7_24 Gurobi Solution'!AB35</f>
        <v>0</v>
      </c>
      <c r="Y35" s="33">
        <f>'M7_24 Gams Solution '!AC35-'M7_24 Gurobi Solution'!AC35</f>
        <v>2.2239987629291136E-11</v>
      </c>
      <c r="Z35" s="33">
        <f>'M7_24 Gams Solution '!AD35-'M7_24 Gurobi Solution'!AD35</f>
        <v>0</v>
      </c>
      <c r="AA35" s="33">
        <f>'M7_24 Gams Solution '!AE35-'M7_24 Gurobi Solution'!AE35</f>
        <v>0</v>
      </c>
      <c r="AB35" s="33">
        <f>'M7_24 Gams Solution '!AF35-'M7_24 Gurobi Solution'!AF35</f>
        <v>0</v>
      </c>
    </row>
    <row r="36" spans="4:28" x14ac:dyDescent="0.2">
      <c r="D36">
        <v>16</v>
      </c>
      <c r="E36" s="42">
        <f>'M7_24 Gams Solution '!E36-'M7_24 Gurobi Solution'!E36</f>
        <v>0</v>
      </c>
      <c r="F36" s="42">
        <f>'M7_24 Gams Solution '!F36-'M7_24 Gurobi Solution'!F36</f>
        <v>0</v>
      </c>
      <c r="G36" s="42">
        <f>'M7_24 Gams Solution '!G36-'M7_24 Gurobi Solution'!G36</f>
        <v>-1.5575096767861396E-11</v>
      </c>
      <c r="H36" s="42">
        <f>'M7_24 Gams Solution '!H36-'M7_24 Gurobi Solution'!H36</f>
        <v>0</v>
      </c>
      <c r="I36" s="42">
        <f>'M7_24 Gams Solution '!I36-'M7_24 Gurobi Solution'!I36</f>
        <v>-5.1210236051701941E-10</v>
      </c>
      <c r="J36" s="42">
        <f>'M7_24 Gams Solution '!J36-'M7_24 Gurobi Solution'!J36</f>
        <v>0</v>
      </c>
      <c r="K36" s="42">
        <f>'M7_24 Gams Solution '!K36-'M7_24 Gurobi Solution'!K36</f>
        <v>-5.0840753829106688E-10</v>
      </c>
      <c r="L36" s="42">
        <f>'M7_24 Gams Solution '!L36-'M7_24 Gurobi Solution'!L36</f>
        <v>0</v>
      </c>
      <c r="M36" s="42">
        <f>'M7_24 Gams Solution '!M36-'M7_24 Gurobi Solution'!M36</f>
        <v>-1.5006662579253316E-11</v>
      </c>
      <c r="N36" s="42">
        <f>'M7_24 Gams Solution '!N36-'M7_24 Gurobi Solution'!N36</f>
        <v>-1.0004441719502211E-11</v>
      </c>
      <c r="P36" s="11">
        <f>'M7_24 Gurobi Solution'!N36</f>
        <v>2660</v>
      </c>
      <c r="Q36" s="11">
        <f>'M7_24 Gams Solution '!N36</f>
        <v>2659.99999999999</v>
      </c>
      <c r="S36" s="40">
        <f>'M7_24 Gams Solution '!U36-'M7_24 Gurobi Solution'!U36</f>
        <v>0</v>
      </c>
      <c r="T36" s="40">
        <f>'M7_24 Gams Solution '!X36-'M7_24 Gurobi Solution'!X36</f>
        <v>0</v>
      </c>
      <c r="U36" s="40">
        <f>'M7_24 Gams Solution '!Y36-'M7_24 Gurobi Solution'!Y36</f>
        <v>0</v>
      </c>
      <c r="V36" s="44">
        <f>'M7_24 Gams Solution '!Z36-'M7_24 Gurobi Solution'!Z36</f>
        <v>1.5575096767861396E-11</v>
      </c>
      <c r="W36" s="44">
        <f>'M7_24 Gams Solution '!AA36-'M7_24 Gurobi Solution'!AA36</f>
        <v>-3.637978807091713E-12</v>
      </c>
      <c r="X36" s="33">
        <f>'M7_24 Gams Solution '!AB36-'M7_24 Gurobi Solution'!AB36</f>
        <v>0</v>
      </c>
      <c r="Y36" s="33">
        <f>'M7_24 Gams Solution '!AC36-'M7_24 Gurobi Solution'!AC36</f>
        <v>3.0382807381101884E-11</v>
      </c>
      <c r="Z36" s="33">
        <f>'M7_24 Gams Solution '!AD36-'M7_24 Gurobi Solution'!AD36</f>
        <v>0</v>
      </c>
      <c r="AA36" s="33">
        <f>'M7_24 Gams Solution '!AE36-'M7_24 Gurobi Solution'!AE36</f>
        <v>0</v>
      </c>
      <c r="AB36" s="33">
        <f>'M7_24 Gams Solution '!AF36-'M7_24 Gurobi Solution'!AF36</f>
        <v>0</v>
      </c>
    </row>
    <row r="37" spans="4:28" x14ac:dyDescent="0.2">
      <c r="D37">
        <v>17</v>
      </c>
      <c r="E37" s="42">
        <f>'M7_24 Gams Solution '!E37-'M7_24 Gurobi Solution'!E37</f>
        <v>9.9475983006414026E-13</v>
      </c>
      <c r="F37" s="42">
        <f>'M7_24 Gams Solution '!F37-'M7_24 Gurobi Solution'!F37</f>
        <v>0</v>
      </c>
      <c r="G37" s="42">
        <f>'M7_24 Gams Solution '!G37-'M7_24 Gurobi Solution'!G37</f>
        <v>0</v>
      </c>
      <c r="H37" s="42">
        <f>'M7_24 Gams Solution '!H37-'M7_24 Gurobi Solution'!H37</f>
        <v>2.7909677715633189E-11</v>
      </c>
      <c r="I37" s="42">
        <f>'M7_24 Gams Solution '!I37-'M7_24 Gurobi Solution'!I37</f>
        <v>-1.8403056856186595E-11</v>
      </c>
      <c r="J37" s="42">
        <f>'M7_24 Gams Solution '!J37-'M7_24 Gurobi Solution'!J37</f>
        <v>0</v>
      </c>
      <c r="K37" s="42">
        <f>'M7_24 Gams Solution '!K37-'M7_24 Gurobi Solution'!K37</f>
        <v>0</v>
      </c>
      <c r="L37" s="42">
        <f>'M7_24 Gams Solution '!L37-'M7_24 Gurobi Solution'!L37</f>
        <v>1.941812014053532E-11</v>
      </c>
      <c r="M37" s="42">
        <f>'M7_24 Gams Solution '!M37-'M7_24 Gurobi Solution'!M37</f>
        <v>-4.2973624658770859E-11</v>
      </c>
      <c r="N37" s="42">
        <f>'M7_24 Gams Solution '!N37-'M7_24 Gurobi Solution'!N37</f>
        <v>-3.0013325158506632E-11</v>
      </c>
      <c r="P37" s="11">
        <f>'M7_24 Gurobi Solution'!N37</f>
        <v>2660</v>
      </c>
      <c r="Q37" s="11">
        <f>'M7_24 Gams Solution '!N37</f>
        <v>2659.99999999997</v>
      </c>
      <c r="S37" s="40">
        <f>'M7_24 Gams Solution '!U37-'M7_24 Gurobi Solution'!U37</f>
        <v>0</v>
      </c>
      <c r="T37" s="40">
        <f>'M7_24 Gams Solution '!X37-'M7_24 Gurobi Solution'!X37</f>
        <v>0</v>
      </c>
      <c r="U37" s="40">
        <f>'M7_24 Gams Solution '!Y37-'M7_24 Gurobi Solution'!Y37</f>
        <v>0</v>
      </c>
      <c r="V37" s="44">
        <f>'M7_24 Gams Solution '!Z37-'M7_24 Gurobi Solution'!Z37</f>
        <v>2.893330020015128E-11</v>
      </c>
      <c r="W37" s="44">
        <f>'M7_24 Gams Solution '!AA37-'M7_24 Gurobi Solution'!AA37</f>
        <v>1.0231815394945443E-12</v>
      </c>
      <c r="X37" s="33">
        <f>'M7_24 Gams Solution '!AB37-'M7_24 Gurobi Solution'!AB37</f>
        <v>-6.7501559897209518E-14</v>
      </c>
      <c r="Y37" s="33">
        <f>'M7_24 Gams Solution '!AC37-'M7_24 Gurobi Solution'!AC37</f>
        <v>1.2434497875801753E-12</v>
      </c>
      <c r="Z37" s="33">
        <f>'M7_24 Gams Solution '!AD37-'M7_24 Gurobi Solution'!AD37</f>
        <v>0</v>
      </c>
      <c r="AA37" s="33">
        <f>'M7_24 Gams Solution '!AE37-'M7_24 Gurobi Solution'!AE37</f>
        <v>0</v>
      </c>
      <c r="AB37" s="33">
        <f>'M7_24 Gams Solution '!AF37-'M7_24 Gurobi Solution'!AF37</f>
        <v>0</v>
      </c>
    </row>
    <row r="38" spans="4:28" x14ac:dyDescent="0.2">
      <c r="D38">
        <v>18</v>
      </c>
      <c r="E38" s="42">
        <f>'M7_24 Gams Solution '!E38-'M7_24 Gurobi Solution'!E38</f>
        <v>0</v>
      </c>
      <c r="F38" s="42">
        <f>'M7_24 Gams Solution '!F38-'M7_24 Gurobi Solution'!F38</f>
        <v>0</v>
      </c>
      <c r="G38" s="42">
        <f>'M7_24 Gams Solution '!G38-'M7_24 Gurobi Solution'!G38</f>
        <v>0</v>
      </c>
      <c r="H38" s="42">
        <f>'M7_24 Gams Solution '!H38-'M7_24 Gurobi Solution'!H38</f>
        <v>2.7089656772123771E-9</v>
      </c>
      <c r="I38" s="42">
        <f>'M7_24 Gams Solution '!I38-'M7_24 Gurobi Solution'!I38</f>
        <v>-8.7311491370201111E-11</v>
      </c>
      <c r="J38" s="42">
        <f>'M7_24 Gams Solution '!J38-'M7_24 Gurobi Solution'!J38</f>
        <v>0</v>
      </c>
      <c r="K38" s="42">
        <f>'M7_24 Gams Solution '!K38-'M7_24 Gurobi Solution'!K38</f>
        <v>0</v>
      </c>
      <c r="L38" s="42">
        <f>'M7_24 Gams Solution '!L38-'M7_24 Gurobi Solution'!L38</f>
        <v>8.8216592261354879E-11</v>
      </c>
      <c r="M38" s="42">
        <f>'M7_24 Gams Solution '!M38-'M7_24 Gurobi Solution'!M38</f>
        <v>-2.8360318538034335E-9</v>
      </c>
      <c r="N38" s="42">
        <f>'M7_24 Gams Solution '!N38-'M7_24 Gurobi Solution'!N38</f>
        <v>-1.2278178473934531E-10</v>
      </c>
      <c r="P38" s="11">
        <f>'M7_24 Gurobi Solution'!N38</f>
        <v>2660</v>
      </c>
      <c r="Q38" s="11">
        <f>'M7_24 Gams Solution '!N38</f>
        <v>2659.9999999998772</v>
      </c>
      <c r="S38" s="40">
        <f>'M7_24 Gams Solution '!U38-'M7_24 Gurobi Solution'!U38</f>
        <v>0</v>
      </c>
      <c r="T38" s="40">
        <f>'M7_24 Gams Solution '!X38-'M7_24 Gurobi Solution'!X38</f>
        <v>0</v>
      </c>
      <c r="U38" s="40">
        <f>'M7_24 Gams Solution '!Y38-'M7_24 Gurobi Solution'!Y38</f>
        <v>0</v>
      </c>
      <c r="V38" s="44">
        <f>'M7_24 Gams Solution '!Z38-'M7_24 Gurobi Solution'!Z38</f>
        <v>2.7089868126495276E-9</v>
      </c>
      <c r="W38" s="44">
        <f>'M7_24 Gams Solution '!AA38-'M7_24 Gurobi Solution'!AA38</f>
        <v>9.0949470177292824E-13</v>
      </c>
      <c r="X38" s="33">
        <f>'M7_24 Gams Solution '!AB38-'M7_24 Gurobi Solution'!AB38</f>
        <v>0</v>
      </c>
      <c r="Y38" s="33">
        <f>'M7_24 Gams Solution '!AC38-'M7_24 Gurobi Solution'!AC38</f>
        <v>7.0325967271855916E-12</v>
      </c>
      <c r="Z38" s="33">
        <f>'M7_24 Gams Solution '!AD38-'M7_24 Gurobi Solution'!AD38</f>
        <v>0</v>
      </c>
      <c r="AA38" s="33">
        <f>'M7_24 Gams Solution '!AE38-'M7_24 Gurobi Solution'!AE38</f>
        <v>0</v>
      </c>
      <c r="AB38" s="33">
        <f>'M7_24 Gams Solution '!AF38-'M7_24 Gurobi Solution'!AF38</f>
        <v>0</v>
      </c>
    </row>
    <row r="39" spans="4:28" x14ac:dyDescent="0.2">
      <c r="D39">
        <v>19</v>
      </c>
      <c r="E39" s="42">
        <f>'M7_24 Gams Solution '!E39-'M7_24 Gurobi Solution'!E39</f>
        <v>0</v>
      </c>
      <c r="F39" s="42">
        <f>'M7_24 Gams Solution '!F39-'M7_24 Gurobi Solution'!F39</f>
        <v>1.9602235814901971E-10</v>
      </c>
      <c r="G39" s="42">
        <f>'M7_24 Gams Solution '!G39-'M7_24 Gurobi Solution'!G39</f>
        <v>0</v>
      </c>
      <c r="H39" s="42">
        <f>'M7_24 Gams Solution '!H39-'M7_24 Gurobi Solution'!H39</f>
        <v>1.9667822925839573E-10</v>
      </c>
      <c r="I39" s="42">
        <f>'M7_24 Gams Solution '!I39-'M7_24 Gurobi Solution'!I39</f>
        <v>0</v>
      </c>
      <c r="J39" s="42">
        <f>'M7_24 Gams Solution '!J39-'M7_24 Gurobi Solution'!J39</f>
        <v>7.0403694023756999E-11</v>
      </c>
      <c r="K39" s="42">
        <f>'M7_24 Gams Solution '!K39-'M7_24 Gurobi Solution'!K39</f>
        <v>0</v>
      </c>
      <c r="L39" s="42">
        <f>'M7_24 Gams Solution '!L39-'M7_24 Gurobi Solution'!L39</f>
        <v>7.0421890541183529E-11</v>
      </c>
      <c r="M39" s="42">
        <f>'M7_24 Gams Solution '!M39-'M7_24 Gurobi Solution'!M39</f>
        <v>-3.0370301828952506E-9</v>
      </c>
      <c r="N39" s="42">
        <f>'M7_24 Gams Solution '!N39-'M7_24 Gurobi Solution'!N39</f>
        <v>-1.8872015061788261E-10</v>
      </c>
      <c r="P39" s="11">
        <f>'M7_24 Gurobi Solution'!N39</f>
        <v>2600.8737790663199</v>
      </c>
      <c r="Q39" s="11">
        <f>'M7_24 Gams Solution '!N39</f>
        <v>2600.8737790661312</v>
      </c>
      <c r="S39" s="41">
        <f>'M7_24 Gams Solution '!U39-'M7_24 Gurobi Solution'!U39</f>
        <v>1.6924795858100555E-2</v>
      </c>
      <c r="T39" s="40">
        <f>'M7_24 Gams Solution '!X39-'M7_24 Gurobi Solution'!X39</f>
        <v>7.1054273576010019E-14</v>
      </c>
      <c r="U39" s="40">
        <f>'M7_24 Gams Solution '!Y39-'M7_24 Gurobi Solution'!Y39</f>
        <v>0</v>
      </c>
      <c r="V39" s="44">
        <f>'M7_24 Gams Solution '!Z39-'M7_24 Gurobi Solution'!Z39</f>
        <v>5.8264504332328215E-13</v>
      </c>
      <c r="W39" s="44">
        <f>'M7_24 Gams Solution '!AA39-'M7_24 Gurobi Solution'!AA39</f>
        <v>8.5265128291212022E-14</v>
      </c>
      <c r="X39" s="33">
        <f>'M7_24 Gams Solution '!AB39-'M7_24 Gurobi Solution'!AB39</f>
        <v>1.4928117592929815E-11</v>
      </c>
      <c r="Y39" s="33">
        <f>'M7_24 Gams Solution '!AC39-'M7_24 Gurobi Solution'!AC39</f>
        <v>5.3616058560233703E-12</v>
      </c>
      <c r="Z39" s="32">
        <f>'M7_24 Gams Solution '!AD39-'M7_24 Gurobi Solution'!AD39</f>
        <v>0.90884057500401028</v>
      </c>
      <c r="AA39" s="32">
        <f>'M7_24 Gams Solution '!AE39-'M7_24 Gurobi Solution'!AE39</f>
        <v>-0.90884057500401028</v>
      </c>
      <c r="AB39" s="33">
        <f>'M7_24 Gams Solution '!AF39-'M7_24 Gurobi Solution'!AF39</f>
        <v>0</v>
      </c>
    </row>
    <row r="40" spans="4:28" x14ac:dyDescent="0.2">
      <c r="D40">
        <v>20</v>
      </c>
      <c r="E40" s="42">
        <f>'M7_24 Gams Solution '!E40-'M7_24 Gurobi Solution'!E40</f>
        <v>0</v>
      </c>
      <c r="F40" s="42">
        <f>'M7_24 Gams Solution '!F40-'M7_24 Gurobi Solution'!F40</f>
        <v>-1.3386625141720288E-11</v>
      </c>
      <c r="G40" s="42">
        <f>'M7_24 Gams Solution '!G40-'M7_24 Gurobi Solution'!G40</f>
        <v>0</v>
      </c>
      <c r="H40" s="42">
        <f>'M7_24 Gams Solution '!H40-'M7_24 Gurobi Solution'!H40</f>
        <v>-1.4097167877480388E-11</v>
      </c>
      <c r="I40" s="42">
        <f>'M7_24 Gams Solution '!I40-'M7_24 Gurobi Solution'!I40</f>
        <v>0</v>
      </c>
      <c r="J40" s="42">
        <f>'M7_24 Gams Solution '!J40-'M7_24 Gurobi Solution'!J40</f>
        <v>-1.9031176634598523E-10</v>
      </c>
      <c r="K40" s="42">
        <f>'M7_24 Gams Solution '!K40-'M7_24 Gurobi Solution'!K40</f>
        <v>0</v>
      </c>
      <c r="L40" s="42">
        <f>'M7_24 Gams Solution '!L40-'M7_24 Gurobi Solution'!L40</f>
        <v>-1.9019807950826362E-10</v>
      </c>
      <c r="M40" s="42">
        <f>'M7_24 Gams Solution '!M40-'M7_24 Gurobi Solution'!M40</f>
        <v>-3.0211140256142244E-9</v>
      </c>
      <c r="N40" s="42">
        <f>'M7_24 Gams Solution '!N40-'M7_24 Gurobi Solution'!N40</f>
        <v>1.0004441719502211E-11</v>
      </c>
      <c r="P40" s="11">
        <f>'M7_24 Gurobi Solution'!N40</f>
        <v>1805.1018663786799</v>
      </c>
      <c r="Q40" s="11">
        <f>'M7_24 Gams Solution '!N40</f>
        <v>1805.1018663786899</v>
      </c>
      <c r="S40" s="40">
        <f>'M7_24 Gams Solution '!U40-'M7_24 Gurobi Solution'!U40</f>
        <v>0</v>
      </c>
      <c r="T40" s="40">
        <f>'M7_24 Gams Solution '!X40-'M7_24 Gurobi Solution'!X40</f>
        <v>0</v>
      </c>
      <c r="U40" s="40">
        <f>'M7_24 Gams Solution '!Y40-'M7_24 Gurobi Solution'!Y40</f>
        <v>0</v>
      </c>
      <c r="V40" s="44">
        <f>'M7_24 Gams Solution '!Z40-'M7_24 Gurobi Solution'!Z40</f>
        <v>-7.1054273576010019E-13</v>
      </c>
      <c r="W40" s="44">
        <f>'M7_24 Gams Solution '!AA40-'M7_24 Gurobi Solution'!AA40</f>
        <v>1.1368683772161603E-13</v>
      </c>
      <c r="X40" s="33">
        <f>'M7_24 Gams Solution '!AB40-'M7_24 Gurobi Solution'!AB40</f>
        <v>-1.2079226507921703E-12</v>
      </c>
      <c r="Y40" s="33">
        <f>'M7_24 Gams Solution '!AC40-'M7_24 Gurobi Solution'!AC40</f>
        <v>-1.7180923350679222E-11</v>
      </c>
      <c r="Z40" s="33">
        <f>'M7_24 Gams Solution '!AD40-'M7_24 Gurobi Solution'!AD40</f>
        <v>0</v>
      </c>
      <c r="AA40" s="33">
        <f>'M7_24 Gams Solution '!AE40-'M7_24 Gurobi Solution'!AE40</f>
        <v>0</v>
      </c>
      <c r="AB40" s="33">
        <f>'M7_24 Gams Solution '!AF40-'M7_24 Gurobi Solution'!AF40</f>
        <v>0</v>
      </c>
    </row>
    <row r="41" spans="4:28" x14ac:dyDescent="0.2">
      <c r="D41">
        <v>21</v>
      </c>
      <c r="E41" s="42">
        <f>'M7_24 Gams Solution '!E41-'M7_24 Gurobi Solution'!E41</f>
        <v>0</v>
      </c>
      <c r="F41" s="42">
        <f>'M7_24 Gams Solution '!F41-'M7_24 Gurobi Solution'!F41</f>
        <v>-2.0918378140777349E-11</v>
      </c>
      <c r="G41" s="42">
        <f>'M7_24 Gams Solution '!G41-'M7_24 Gurobi Solution'!G41</f>
        <v>0</v>
      </c>
      <c r="H41" s="42">
        <f>'M7_24 Gams Solution '!H41-'M7_24 Gurobi Solution'!H41</f>
        <v>-2.2225776774575934E-11</v>
      </c>
      <c r="I41" s="42">
        <f>'M7_24 Gams Solution '!I41-'M7_24 Gurobi Solution'!I41</f>
        <v>0</v>
      </c>
      <c r="J41" s="42">
        <f>'M7_24 Gams Solution '!J41-'M7_24 Gurobi Solution'!J41</f>
        <v>-1.3528733688872308E-11</v>
      </c>
      <c r="K41" s="42">
        <f>'M7_24 Gams Solution '!K41-'M7_24 Gurobi Solution'!K41</f>
        <v>0</v>
      </c>
      <c r="L41" s="42">
        <f>'M7_24 Gams Solution '!L41-'M7_24 Gurobi Solution'!L41</f>
        <v>-1.3528733688872308E-11</v>
      </c>
      <c r="M41" s="42">
        <f>'M7_24 Gams Solution '!M41-'M7_24 Gurobi Solution'!M41</f>
        <v>-3.0009914553374983E-9</v>
      </c>
      <c r="N41" s="42">
        <f>'M7_24 Gams Solution '!N41-'M7_24 Gurobi Solution'!N41</f>
        <v>1.7735146684572101E-11</v>
      </c>
      <c r="P41" s="11">
        <f>'M7_24 Gurobi Solution'!N41</f>
        <v>920.89134006289703</v>
      </c>
      <c r="Q41" s="11">
        <f>'M7_24 Gams Solution '!N41</f>
        <v>920.89134006291476</v>
      </c>
      <c r="S41" s="41">
        <f>'M7_24 Gams Solution '!U41-'M7_24 Gurobi Solution'!U41</f>
        <v>2.6034521067204608E-2</v>
      </c>
      <c r="T41" s="40">
        <f>'M7_24 Gams Solution '!X41-'M7_24 Gurobi Solution'!X41</f>
        <v>0</v>
      </c>
      <c r="U41" s="40">
        <f>'M7_24 Gams Solution '!Y41-'M7_24 Gurobi Solution'!Y41</f>
        <v>0</v>
      </c>
      <c r="V41" s="44">
        <f>'M7_24 Gams Solution '!Z41-'M7_24 Gurobi Solution'!Z41</f>
        <v>-1.2363443602225743E-12</v>
      </c>
      <c r="W41" s="44">
        <f>'M7_24 Gams Solution '!AA41-'M7_24 Gurobi Solution'!AA41</f>
        <v>-7.1054273576010019E-14</v>
      </c>
      <c r="X41" s="33">
        <f>'M7_24 Gams Solution '!AB41-'M7_24 Gurobi Solution'!AB41</f>
        <v>-2.0676793610618915E-12</v>
      </c>
      <c r="Y41" s="33">
        <f>'M7_24 Gams Solution '!AC41-'M7_24 Gurobi Solution'!AC41</f>
        <v>-1.3358203432289883E-12</v>
      </c>
      <c r="Z41" s="32">
        <f>'M7_24 Gams Solution '!AD41-'M7_24 Gurobi Solution'!AD41</f>
        <v>-2.3614679710713951</v>
      </c>
      <c r="AA41" s="32">
        <f>'M7_24 Gams Solution '!AE41-'M7_24 Gurobi Solution'!AE41</f>
        <v>2.3614679710713951</v>
      </c>
      <c r="AB41" s="33">
        <f>'M7_24 Gams Solution '!AF41-'M7_24 Gurobi Solution'!AF41</f>
        <v>0</v>
      </c>
    </row>
    <row r="42" spans="4:28" x14ac:dyDescent="0.2">
      <c r="D42">
        <v>22</v>
      </c>
      <c r="E42" s="42">
        <f>'M7_24 Gams Solution '!E42-'M7_24 Gurobi Solution'!E42</f>
        <v>0</v>
      </c>
      <c r="F42" s="42">
        <f>'M7_24 Gams Solution '!F42-'M7_24 Gurobi Solution'!F42</f>
        <v>-2.8080648917239159E-11</v>
      </c>
      <c r="G42" s="42">
        <f>'M7_24 Gams Solution '!G42-'M7_24 Gurobi Solution'!G42</f>
        <v>0</v>
      </c>
      <c r="H42" s="42">
        <f>'M7_24 Gams Solution '!H42-'M7_24 Gurobi Solution'!H42</f>
        <v>-2.7625901566352695E-11</v>
      </c>
      <c r="I42" s="42">
        <f>'M7_24 Gams Solution '!I42-'M7_24 Gurobi Solution'!I42</f>
        <v>0</v>
      </c>
      <c r="J42" s="42">
        <f>'M7_24 Gams Solution '!J42-'M7_24 Gurobi Solution'!J42</f>
        <v>-1.8553691916167736E-10</v>
      </c>
      <c r="K42" s="42">
        <f>'M7_24 Gams Solution '!K42-'M7_24 Gurobi Solution'!K42</f>
        <v>0</v>
      </c>
      <c r="L42" s="42">
        <f>'M7_24 Gams Solution '!L42-'M7_24 Gurobi Solution'!L42</f>
        <v>-1.850821718107909E-10</v>
      </c>
      <c r="M42" s="42">
        <f>'M7_24 Gams Solution '!M42-'M7_24 Gurobi Solution'!M42</f>
        <v>-2.9719444682996254E-9</v>
      </c>
      <c r="N42" s="42">
        <f>'M7_24 Gams Solution '!N42-'M7_24 Gurobi Solution'!N42</f>
        <v>2.1299229047144763E-10</v>
      </c>
      <c r="P42" s="11">
        <f>'M7_24 Gurobi Solution'!N42</f>
        <v>140</v>
      </c>
      <c r="Q42" s="11">
        <f>'M7_24 Gams Solution '!N42</f>
        <v>140.00000000021299</v>
      </c>
      <c r="S42" s="40">
        <f>'M7_24 Gams Solution '!U42-'M7_24 Gurobi Solution'!U42</f>
        <v>0</v>
      </c>
      <c r="T42" s="40">
        <f>'M7_24 Gams Solution '!X42-'M7_24 Gurobi Solution'!X42</f>
        <v>0</v>
      </c>
      <c r="U42" s="40">
        <f>'M7_24 Gams Solution '!Y42-'M7_24 Gurobi Solution'!Y42</f>
        <v>0</v>
      </c>
      <c r="V42" s="44">
        <f>'M7_24 Gams Solution '!Z42-'M7_24 Gurobi Solution'!Z42</f>
        <v>4.5474735088646412E-13</v>
      </c>
      <c r="W42" s="44">
        <f>'M7_24 Gams Solution '!AA42-'M7_24 Gurobi Solution'!AA42</f>
        <v>4.5474735088646412E-13</v>
      </c>
      <c r="X42" s="33">
        <f>'M7_24 Gams Solution '!AB42-'M7_24 Gurobi Solution'!AB42</f>
        <v>-2.5366375666635577E-12</v>
      </c>
      <c r="Y42" s="33">
        <f>'M7_24 Gams Solution '!AC42-'M7_24 Gurobi Solution'!AC42</f>
        <v>-1.6768808563938364E-11</v>
      </c>
      <c r="Z42" s="33">
        <f>'M7_24 Gams Solution '!AD42-'M7_24 Gurobi Solution'!AD42</f>
        <v>0</v>
      </c>
      <c r="AA42" s="33">
        <f>'M7_24 Gams Solution '!AE42-'M7_24 Gurobi Solution'!AE42</f>
        <v>0</v>
      </c>
      <c r="AB42" s="33">
        <f>'M7_24 Gams Solution '!AF42-'M7_24 Gurobi Solution'!AF42</f>
        <v>0</v>
      </c>
    </row>
    <row r="43" spans="4:28" x14ac:dyDescent="0.2">
      <c r="D43">
        <v>23</v>
      </c>
      <c r="E43" s="42">
        <f>'M7_24 Gams Solution '!E43-'M7_24 Gurobi Solution'!E43</f>
        <v>0</v>
      </c>
      <c r="F43" s="42">
        <f>'M7_24 Gams Solution '!F43-'M7_24 Gurobi Solution'!F43</f>
        <v>-3.0006361839696183E-9</v>
      </c>
      <c r="G43" s="42">
        <f>'M7_24 Gams Solution '!G43-'M7_24 Gurobi Solution'!G43</f>
        <v>0</v>
      </c>
      <c r="H43" s="42">
        <f>'M7_24 Gams Solution '!H43-'M7_24 Gurobi Solution'!H43</f>
        <v>-3.0004798645677511E-9</v>
      </c>
      <c r="I43" s="42">
        <f>'M7_24 Gams Solution '!I43-'M7_24 Gurobi Solution'!I43</f>
        <v>0</v>
      </c>
      <c r="J43" s="42">
        <f>'M7_24 Gams Solution '!J43-'M7_24 Gurobi Solution'!J43</f>
        <v>1.4240518779375791E-10</v>
      </c>
      <c r="K43" s="42">
        <f>'M7_24 Gams Solution '!K43-'M7_24 Gurobi Solution'!K43</f>
        <v>0</v>
      </c>
      <c r="L43" s="42">
        <f>'M7_24 Gams Solution '!L43-'M7_24 Gurobi Solution'!L43</f>
        <v>1.4240518779375791E-10</v>
      </c>
      <c r="M43" s="42">
        <f>'M7_24 Gams Solution '!M43-'M7_24 Gurobi Solution'!M43</f>
        <v>1.2110490388295148E-10</v>
      </c>
      <c r="N43" s="42">
        <f>'M7_24 Gams Solution '!N43-'M7_24 Gurobi Solution'!N43</f>
        <v>6.3096194935496897E-11</v>
      </c>
      <c r="P43" s="11">
        <f>'M7_24 Gurobi Solution'!N43</f>
        <v>140</v>
      </c>
      <c r="Q43" s="11">
        <f>'M7_24 Gams Solution '!N43</f>
        <v>140.0000000000631</v>
      </c>
      <c r="S43" s="40">
        <f>'M7_24 Gams Solution '!U43-'M7_24 Gurobi Solution'!U43</f>
        <v>2.7318199095368867E-3</v>
      </c>
      <c r="T43" s="40">
        <f>'M7_24 Gams Solution '!X43-'M7_24 Gurobi Solution'!X43</f>
        <v>0</v>
      </c>
      <c r="U43" s="40">
        <f>'M7_24 Gams Solution '!Y43-'M7_24 Gurobi Solution'!Y43</f>
        <v>0</v>
      </c>
      <c r="V43" s="44">
        <f>'M7_24 Gams Solution '!Z43-'M7_24 Gurobi Solution'!Z43</f>
        <v>1.9895196601282805E-13</v>
      </c>
      <c r="W43" s="44">
        <f>'M7_24 Gams Solution '!AA43-'M7_24 Gurobi Solution'!AA43</f>
        <v>0</v>
      </c>
      <c r="X43" s="33">
        <f>'M7_24 Gams Solution '!AB43-'M7_24 Gurobi Solution'!AB43</f>
        <v>-2.4361845873954735E-10</v>
      </c>
      <c r="Y43" s="33">
        <f>'M7_24 Gams Solution '!AC43-'M7_24 Gurobi Solution'!AC43</f>
        <v>1.1561705530447461E-11</v>
      </c>
      <c r="Z43" s="32">
        <f>'M7_24 Gams Solution '!AD43-'M7_24 Gurobi Solution'!AD43</f>
        <v>0.23477986929937078</v>
      </c>
      <c r="AA43" s="32">
        <f>'M7_24 Gams Solution '!AE43-'M7_24 Gurobi Solution'!AE43</f>
        <v>-0.23477986929937078</v>
      </c>
      <c r="AB43" s="33">
        <f>'M7_24 Gams Solution '!AF43-'M7_24 Gurobi Solution'!AF43</f>
        <v>0</v>
      </c>
    </row>
    <row r="44" spans="4:28" x14ac:dyDescent="0.2">
      <c r="D44">
        <v>24</v>
      </c>
      <c r="E44" s="42">
        <f>'M7_24 Gams Solution '!E44-'M7_24 Gurobi Solution'!E44</f>
        <v>0</v>
      </c>
      <c r="F44" s="42">
        <f>'M7_24 Gams Solution '!F44-'M7_24 Gurobi Solution'!F44</f>
        <v>1.1739792569066129E-10</v>
      </c>
      <c r="G44" s="42">
        <f>'M7_24 Gams Solution '!G44-'M7_24 Gurobi Solution'!G44</f>
        <v>0</v>
      </c>
      <c r="H44" s="42">
        <f>'M7_24 Gams Solution '!H44-'M7_24 Gurobi Solution'!H44</f>
        <v>1.1749534678529017E-10</v>
      </c>
      <c r="I44" s="42">
        <f>'M7_24 Gams Solution '!I44-'M7_24 Gurobi Solution'!I44</f>
        <v>0</v>
      </c>
      <c r="J44" s="42">
        <f>'M7_24 Gams Solution '!J44-'M7_24 Gurobi Solution'!J44</f>
        <v>5.9935136985812126E-11</v>
      </c>
      <c r="K44" s="42">
        <f>'M7_24 Gams Solution '!K44-'M7_24 Gurobi Solution'!K44</f>
        <v>0</v>
      </c>
      <c r="L44" s="42">
        <f>'M7_24 Gams Solution '!L44-'M7_24 Gurobi Solution'!L44</f>
        <v>5.9920926131096924E-11</v>
      </c>
      <c r="M44" s="42">
        <f>'M7_24 Gams Solution '!M44-'M7_24 Gurobi Solution'!M44</f>
        <v>0</v>
      </c>
      <c r="N44" s="42">
        <f>'M7_24 Gams Solution '!N44-'M7_24 Gurobi Solution'!N44</f>
        <v>0</v>
      </c>
      <c r="P44" s="11">
        <f>'M7_24 Gurobi Solution'!N44</f>
        <v>140</v>
      </c>
      <c r="Q44" s="11">
        <f>'M7_24 Gams Solution '!N44</f>
        <v>140</v>
      </c>
      <c r="S44" s="41">
        <f>'M7_24 Gams Solution '!U44-'M7_24 Gurobi Solution'!U44</f>
        <v>5.2442502935977492E-3</v>
      </c>
      <c r="T44" s="40">
        <f>'M7_24 Gams Solution '!X44-'M7_24 Gurobi Solution'!X44</f>
        <v>1.1368683772161603E-13</v>
      </c>
      <c r="U44" s="40">
        <f>'M7_24 Gams Solution '!Y44-'M7_24 Gurobi Solution'!Y44</f>
        <v>0</v>
      </c>
      <c r="V44" s="44">
        <f>'M7_24 Gams Solution '!Z44-'M7_24 Gurobi Solution'!Z44</f>
        <v>0</v>
      </c>
      <c r="W44" s="44">
        <f>'M7_24 Gams Solution '!AA44-'M7_24 Gurobi Solution'!AA44</f>
        <v>0</v>
      </c>
      <c r="X44" s="33">
        <f>'M7_24 Gams Solution '!AB44-'M7_24 Gurobi Solution'!AB44</f>
        <v>8.7775180493566034E-12</v>
      </c>
      <c r="Y44" s="33">
        <f>'M7_24 Gams Solution '!AC44-'M7_24 Gurobi Solution'!AC44</f>
        <v>4.4811843445158497E-12</v>
      </c>
      <c r="Z44" s="32">
        <f>'M7_24 Gams Solution '!AD44-'M7_24 Gurobi Solution'!AD44</f>
        <v>0.54433378626688533</v>
      </c>
      <c r="AA44" s="32">
        <f>'M7_24 Gams Solution '!AE44-'M7_24 Gurobi Solution'!AE44</f>
        <v>-0.544333786266888</v>
      </c>
      <c r="AB44" s="33">
        <f>'M7_24 Gams Solution '!AF44-'M7_24 Gurobi Solution'!AF44</f>
        <v>0</v>
      </c>
    </row>
  </sheetData>
  <mergeCells count="1">
    <mergeCell ref="V20:W2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M7_24 Gurobi Solution</vt:lpstr>
      <vt:lpstr>M7_24 Gams Solution </vt:lpstr>
      <vt:lpstr>Sheet3</vt:lpstr>
      <vt:lpstr>'M7_24 Gurobi Solution'!kappaP1</vt:lpstr>
      <vt:lpstr>kappaP1</vt:lpstr>
      <vt:lpstr>'M7_24 Gurobi Solution'!kappaP2</vt:lpstr>
      <vt:lpstr>kappaP2</vt:lpstr>
      <vt:lpstr>'M7_24 Gurobi Solution'!kappaP3</vt:lpstr>
      <vt:lpstr>kappaP3</vt:lpstr>
      <vt:lpstr>'M7_24 Gurobi Solution'!kappaP4</vt:lpstr>
      <vt:lpstr>kappaP4</vt:lpstr>
      <vt:lpstr>'M7_24 Gurobi Solution'!kappaP5</vt:lpstr>
      <vt:lpstr>kappaP5</vt:lpstr>
      <vt:lpstr>'M7_24 Gurobi Solution'!kappaP6</vt:lpstr>
      <vt:lpstr>kappaP6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 De oliveira de jesus</dc:creator>
  <cp:lastModifiedBy>Paulo Manuel De oliveira de jesus</cp:lastModifiedBy>
  <dcterms:created xsi:type="dcterms:W3CDTF">2025-05-26T00:27:16Z</dcterms:created>
  <dcterms:modified xsi:type="dcterms:W3CDTF">2025-05-26T03:45:20Z</dcterms:modified>
</cp:coreProperties>
</file>