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m.deoliveiradejes/Desktop/M6_CE_models/"/>
    </mc:Choice>
  </mc:AlternateContent>
  <xr:revisionPtr revIDLastSave="0" documentId="8_{FA7B9D56-66B2-6D41-A69D-F3BE84AAAC9B}" xr6:coauthVersionLast="47" xr6:coauthVersionMax="47" xr10:uidLastSave="{00000000-0000-0000-0000-000000000000}"/>
  <bookViews>
    <workbookView xWindow="740" yWindow="500" windowWidth="27200" windowHeight="14860" activeTab="1" xr2:uid="{FBC702F7-1A75-654F-833A-E6BD1BADEB81}"/>
  </bookViews>
  <sheets>
    <sheet name="Share Optimo" sheetId="6" r:id="rId1"/>
    <sheet name="Base" sheetId="2" r:id="rId2"/>
  </sheets>
  <definedNames>
    <definedName name="solver_adj" localSheetId="0" hidden="1">'Share Optimo'!$B$30:$Q$30,'Share Optimo'!$O$41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'Share Optimo'!$B$30:$Q$30</definedName>
    <definedName name="solver_lhs2" localSheetId="0" hidden="1">'Share Optimo'!$B$39:$Q$39</definedName>
    <definedName name="solver_lhs3" localSheetId="0" hidden="1">'Share Optimo'!$B$40:$P$40</definedName>
    <definedName name="solver_lhs4" localSheetId="0" hidden="1">'Share Optimo'!$Q$30</definedName>
    <definedName name="solver_lhs5" localSheetId="0" hidden="1">'Share Optimo'!$R$30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opt" localSheetId="0" hidden="1">'Share Optimo'!$R$39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l5" localSheetId="0" hidden="1">2</definedName>
    <definedName name="solver_rhs1" localSheetId="0" hidden="1">0.1</definedName>
    <definedName name="solver_rhs2" localSheetId="0" hidden="1">0</definedName>
    <definedName name="solver_rhs3" localSheetId="0" hidden="1">'Share Optimo'!$O$41</definedName>
    <definedName name="solver_rhs4" localSheetId="0" hidden="1">0.05</definedName>
    <definedName name="solver_rhs5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9" i="2" l="1"/>
  <c r="R38" i="2"/>
  <c r="R40" i="2" s="1"/>
  <c r="R37" i="2"/>
  <c r="B41" i="6"/>
  <c r="B49" i="2"/>
  <c r="B2" i="2"/>
  <c r="R11" i="2"/>
  <c r="R12" i="2"/>
  <c r="R13" i="2"/>
  <c r="R14" i="2"/>
  <c r="R15" i="2"/>
  <c r="R16" i="2"/>
  <c r="R17" i="2"/>
  <c r="R18" i="2"/>
  <c r="R19" i="2"/>
  <c r="R20" i="2"/>
  <c r="R21" i="2"/>
  <c r="R22" i="2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L49" i="6"/>
  <c r="J37" i="6"/>
  <c r="E37" i="6"/>
  <c r="H33" i="6"/>
  <c r="J33" i="6" s="1"/>
  <c r="O31" i="6"/>
  <c r="N31" i="6"/>
  <c r="G31" i="6"/>
  <c r="Q29" i="6"/>
  <c r="Q37" i="6" s="1"/>
  <c r="P29" i="6"/>
  <c r="P37" i="6" s="1"/>
  <c r="O29" i="6"/>
  <c r="O37" i="6" s="1"/>
  <c r="N29" i="6"/>
  <c r="N37" i="6" s="1"/>
  <c r="M29" i="6"/>
  <c r="M31" i="6" s="1"/>
  <c r="L29" i="6"/>
  <c r="L31" i="6" s="1"/>
  <c r="K29" i="6"/>
  <c r="K31" i="6" s="1"/>
  <c r="J29" i="6"/>
  <c r="J31" i="6" s="1"/>
  <c r="I29" i="6"/>
  <c r="I37" i="6" s="1"/>
  <c r="H29" i="6"/>
  <c r="H37" i="6" s="1"/>
  <c r="G29" i="6"/>
  <c r="G37" i="6" s="1"/>
  <c r="F29" i="6"/>
  <c r="F37" i="6" s="1"/>
  <c r="E29" i="6"/>
  <c r="E31" i="6" s="1"/>
  <c r="D29" i="6"/>
  <c r="D31" i="6" s="1"/>
  <c r="C29" i="6"/>
  <c r="C31" i="6" s="1"/>
  <c r="B29" i="6"/>
  <c r="B31" i="6" s="1"/>
  <c r="R28" i="6"/>
  <c r="S28" i="6" s="1"/>
  <c r="T28" i="6" s="1"/>
  <c r="R27" i="6"/>
  <c r="S27" i="6" s="1"/>
  <c r="T27" i="6" s="1"/>
  <c r="R26" i="6"/>
  <c r="S26" i="6" s="1"/>
  <c r="T26" i="6" s="1"/>
  <c r="R25" i="6"/>
  <c r="S25" i="6" s="1"/>
  <c r="T25" i="6" s="1"/>
  <c r="R24" i="6"/>
  <c r="S24" i="6" s="1"/>
  <c r="T24" i="6" s="1"/>
  <c r="R23" i="6"/>
  <c r="S23" i="6" s="1"/>
  <c r="T23" i="6" s="1"/>
  <c r="S22" i="6"/>
  <c r="T22" i="6" s="1"/>
  <c r="R22" i="6"/>
  <c r="R21" i="6"/>
  <c r="S21" i="6" s="1"/>
  <c r="T21" i="6" s="1"/>
  <c r="R20" i="6"/>
  <c r="S20" i="6" s="1"/>
  <c r="T20" i="6" s="1"/>
  <c r="R19" i="6"/>
  <c r="S19" i="6" s="1"/>
  <c r="T19" i="6" s="1"/>
  <c r="R18" i="6"/>
  <c r="S18" i="6" s="1"/>
  <c r="T18" i="6" s="1"/>
  <c r="R17" i="6"/>
  <c r="S17" i="6" s="1"/>
  <c r="T17" i="6" s="1"/>
  <c r="S16" i="6"/>
  <c r="T16" i="6" s="1"/>
  <c r="R16" i="6"/>
  <c r="R15" i="6"/>
  <c r="S15" i="6" s="1"/>
  <c r="T15" i="6" s="1"/>
  <c r="R14" i="6"/>
  <c r="S14" i="6" s="1"/>
  <c r="T14" i="6" s="1"/>
  <c r="R13" i="6"/>
  <c r="S13" i="6" s="1"/>
  <c r="T13" i="6" s="1"/>
  <c r="R12" i="6"/>
  <c r="S12" i="6" s="1"/>
  <c r="T12" i="6" s="1"/>
  <c r="R11" i="6"/>
  <c r="S11" i="6" s="1"/>
  <c r="T11" i="6" s="1"/>
  <c r="R10" i="6"/>
  <c r="S10" i="6" s="1"/>
  <c r="T10" i="6" s="1"/>
  <c r="R9" i="6"/>
  <c r="S9" i="6" s="1"/>
  <c r="T9" i="6" s="1"/>
  <c r="R8" i="6"/>
  <c r="S8" i="6" s="1"/>
  <c r="T8" i="6" s="1"/>
  <c r="S7" i="6"/>
  <c r="T7" i="6" s="1"/>
  <c r="R7" i="6"/>
  <c r="S6" i="6"/>
  <c r="T6" i="6" s="1"/>
  <c r="R6" i="6"/>
  <c r="R5" i="6"/>
  <c r="S5" i="6" s="1"/>
  <c r="Q30" i="2"/>
  <c r="C30" i="2"/>
  <c r="D30" i="2"/>
  <c r="E30" i="2"/>
  <c r="F30" i="2"/>
  <c r="G30" i="2"/>
  <c r="H30" i="2"/>
  <c r="I30" i="2"/>
  <c r="J30" i="2"/>
  <c r="K30" i="2"/>
  <c r="L30" i="2"/>
  <c r="M30" i="2"/>
  <c r="N30" i="2"/>
  <c r="O30" i="2"/>
  <c r="P30" i="2"/>
  <c r="H33" i="2"/>
  <c r="C44" i="2"/>
  <c r="D44" i="2"/>
  <c r="E44" i="2"/>
  <c r="F44" i="2"/>
  <c r="G44" i="2"/>
  <c r="H44" i="2"/>
  <c r="I44" i="2"/>
  <c r="J44" i="2"/>
  <c r="K44" i="2"/>
  <c r="L44" i="2"/>
  <c r="M44" i="2"/>
  <c r="N44" i="2"/>
  <c r="O44" i="2"/>
  <c r="P44" i="2"/>
  <c r="B44" i="2"/>
  <c r="B41" i="2"/>
  <c r="M49" i="2" s="1"/>
  <c r="R6" i="2"/>
  <c r="R7" i="2"/>
  <c r="R8" i="2"/>
  <c r="R9" i="2"/>
  <c r="R10" i="2"/>
  <c r="R23" i="2"/>
  <c r="R24" i="2"/>
  <c r="R25" i="2"/>
  <c r="R26" i="2"/>
  <c r="R27" i="2"/>
  <c r="R28" i="2"/>
  <c r="R5" i="2"/>
  <c r="M37" i="6" l="1"/>
  <c r="P31" i="6"/>
  <c r="K37" i="6"/>
  <c r="H31" i="6"/>
  <c r="B37" i="6"/>
  <c r="F31" i="6"/>
  <c r="C37" i="6"/>
  <c r="L49" i="2"/>
  <c r="K49" i="2"/>
  <c r="N49" i="2"/>
  <c r="J49" i="2"/>
  <c r="T5" i="6"/>
  <c r="T29" i="6" s="1"/>
  <c r="B35" i="6" s="1"/>
  <c r="G38" i="6" s="1"/>
  <c r="G40" i="6" s="1"/>
  <c r="S29" i="6"/>
  <c r="E49" i="6"/>
  <c r="M49" i="6"/>
  <c r="R29" i="6"/>
  <c r="R31" i="6" s="1"/>
  <c r="F49" i="6"/>
  <c r="N49" i="6"/>
  <c r="D37" i="6"/>
  <c r="L37" i="6"/>
  <c r="G49" i="6"/>
  <c r="O49" i="6"/>
  <c r="I31" i="6"/>
  <c r="Q31" i="6"/>
  <c r="H49" i="6"/>
  <c r="P49" i="6"/>
  <c r="I49" i="6"/>
  <c r="B49" i="6"/>
  <c r="J49" i="6"/>
  <c r="C49" i="6"/>
  <c r="K49" i="6"/>
  <c r="D49" i="6"/>
  <c r="L29" i="2"/>
  <c r="N29" i="2"/>
  <c r="K29" i="2"/>
  <c r="M29" i="2"/>
  <c r="J29" i="2"/>
  <c r="R29" i="2"/>
  <c r="R37" i="6" l="1"/>
  <c r="L37" i="2"/>
  <c r="L77" i="2" s="1"/>
  <c r="L74" i="2"/>
  <c r="J31" i="2"/>
  <c r="J74" i="2"/>
  <c r="M37" i="2"/>
  <c r="M77" i="2" s="1"/>
  <c r="M74" i="2"/>
  <c r="K31" i="2"/>
  <c r="K74" i="2"/>
  <c r="N37" i="2"/>
  <c r="N77" i="2" s="1"/>
  <c r="N74" i="2"/>
  <c r="E38" i="6"/>
  <c r="E40" i="6" s="1"/>
  <c r="L38" i="6"/>
  <c r="L39" i="6" s="1"/>
  <c r="L50" i="6" s="1"/>
  <c r="L51" i="6" s="1"/>
  <c r="L52" i="6" s="1"/>
  <c r="L53" i="6" s="1"/>
  <c r="L54" i="6" s="1"/>
  <c r="L55" i="6" s="1"/>
  <c r="L56" i="6" s="1"/>
  <c r="L57" i="6" s="1"/>
  <c r="L58" i="6" s="1"/>
  <c r="L59" i="6" s="1"/>
  <c r="L60" i="6" s="1"/>
  <c r="L61" i="6" s="1"/>
  <c r="L62" i="6" s="1"/>
  <c r="L63" i="6" s="1"/>
  <c r="L64" i="6" s="1"/>
  <c r="L65" i="6" s="1"/>
  <c r="L66" i="6" s="1"/>
  <c r="L67" i="6" s="1"/>
  <c r="L68" i="6" s="1"/>
  <c r="L69" i="6" s="1"/>
  <c r="P38" i="6"/>
  <c r="P40" i="6" s="1"/>
  <c r="O38" i="6"/>
  <c r="O40" i="6" s="1"/>
  <c r="C38" i="6"/>
  <c r="C40" i="6" s="1"/>
  <c r="D38" i="6"/>
  <c r="D40" i="6" s="1"/>
  <c r="H38" i="6"/>
  <c r="H40" i="6" s="1"/>
  <c r="N38" i="6"/>
  <c r="N40" i="6" s="1"/>
  <c r="K38" i="6"/>
  <c r="K40" i="6" s="1"/>
  <c r="M38" i="6"/>
  <c r="M40" i="6" s="1"/>
  <c r="J38" i="6"/>
  <c r="J40" i="6" s="1"/>
  <c r="F38" i="6"/>
  <c r="F40" i="6" s="1"/>
  <c r="B38" i="6"/>
  <c r="R30" i="6"/>
  <c r="Q38" i="6"/>
  <c r="G39" i="6"/>
  <c r="G50" i="6" s="1"/>
  <c r="I38" i="6"/>
  <c r="N31" i="2"/>
  <c r="J37" i="2"/>
  <c r="J77" i="2" s="1"/>
  <c r="L31" i="2"/>
  <c r="K37" i="2"/>
  <c r="K77" i="2" s="1"/>
  <c r="M31" i="2"/>
  <c r="K76" i="2" l="1"/>
  <c r="K75" i="2"/>
  <c r="M75" i="2"/>
  <c r="M76" i="2"/>
  <c r="J76" i="2"/>
  <c r="J75" i="2"/>
  <c r="N75" i="2"/>
  <c r="N76" i="2"/>
  <c r="L76" i="2"/>
  <c r="L75" i="2"/>
  <c r="L40" i="6"/>
  <c r="J39" i="6"/>
  <c r="J50" i="6" s="1"/>
  <c r="J47" i="6" s="1"/>
  <c r="E39" i="6"/>
  <c r="E50" i="6" s="1"/>
  <c r="E47" i="6" s="1"/>
  <c r="P39" i="6"/>
  <c r="P50" i="6" s="1"/>
  <c r="P47" i="6" s="1"/>
  <c r="M39" i="6"/>
  <c r="M50" i="6" s="1"/>
  <c r="M47" i="6" s="1"/>
  <c r="K39" i="6"/>
  <c r="K50" i="6" s="1"/>
  <c r="K47" i="6" s="1"/>
  <c r="H39" i="6"/>
  <c r="H50" i="6" s="1"/>
  <c r="H47" i="6" s="1"/>
  <c r="C39" i="6"/>
  <c r="C50" i="6" s="1"/>
  <c r="C51" i="6" s="1"/>
  <c r="C52" i="6" s="1"/>
  <c r="C53" i="6" s="1"/>
  <c r="C54" i="6" s="1"/>
  <c r="C55" i="6" s="1"/>
  <c r="C56" i="6" s="1"/>
  <c r="C57" i="6" s="1"/>
  <c r="C58" i="6" s="1"/>
  <c r="C59" i="6" s="1"/>
  <c r="C60" i="6" s="1"/>
  <c r="C61" i="6" s="1"/>
  <c r="C62" i="6" s="1"/>
  <c r="C63" i="6" s="1"/>
  <c r="C64" i="6" s="1"/>
  <c r="C65" i="6" s="1"/>
  <c r="C66" i="6" s="1"/>
  <c r="C67" i="6" s="1"/>
  <c r="C68" i="6" s="1"/>
  <c r="C69" i="6" s="1"/>
  <c r="C46" i="6" s="1"/>
  <c r="N39" i="6"/>
  <c r="N50" i="6" s="1"/>
  <c r="N47" i="6" s="1"/>
  <c r="O39" i="6"/>
  <c r="O50" i="6" s="1"/>
  <c r="O47" i="6" s="1"/>
  <c r="D39" i="6"/>
  <c r="D50" i="6" s="1"/>
  <c r="D51" i="6" s="1"/>
  <c r="D52" i="6" s="1"/>
  <c r="D53" i="6" s="1"/>
  <c r="D54" i="6" s="1"/>
  <c r="D55" i="6" s="1"/>
  <c r="D56" i="6" s="1"/>
  <c r="D57" i="6" s="1"/>
  <c r="D58" i="6" s="1"/>
  <c r="D59" i="6" s="1"/>
  <c r="D60" i="6" s="1"/>
  <c r="D61" i="6" s="1"/>
  <c r="D62" i="6" s="1"/>
  <c r="D63" i="6" s="1"/>
  <c r="D64" i="6" s="1"/>
  <c r="D65" i="6" s="1"/>
  <c r="D66" i="6" s="1"/>
  <c r="D67" i="6" s="1"/>
  <c r="D68" i="6" s="1"/>
  <c r="D69" i="6" s="1"/>
  <c r="F39" i="6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L47" i="6"/>
  <c r="R38" i="6"/>
  <c r="R40" i="6" s="1"/>
  <c r="B40" i="6"/>
  <c r="B39" i="6"/>
  <c r="L46" i="6"/>
  <c r="G47" i="6"/>
  <c r="G51" i="6"/>
  <c r="Q39" i="6"/>
  <c r="I40" i="6"/>
  <c r="I39" i="6"/>
  <c r="I50" i="6" s="1"/>
  <c r="L48" i="6"/>
  <c r="J51" i="6" l="1"/>
  <c r="J52" i="6" s="1"/>
  <c r="J53" i="6" s="1"/>
  <c r="J54" i="6" s="1"/>
  <c r="J55" i="6" s="1"/>
  <c r="J56" i="6" s="1"/>
  <c r="J57" i="6" s="1"/>
  <c r="J58" i="6" s="1"/>
  <c r="J59" i="6" s="1"/>
  <c r="J60" i="6" s="1"/>
  <c r="J61" i="6" s="1"/>
  <c r="J62" i="6" s="1"/>
  <c r="J63" i="6" s="1"/>
  <c r="J64" i="6" s="1"/>
  <c r="J65" i="6" s="1"/>
  <c r="J66" i="6" s="1"/>
  <c r="J67" i="6" s="1"/>
  <c r="J68" i="6" s="1"/>
  <c r="J69" i="6" s="1"/>
  <c r="E51" i="6"/>
  <c r="E52" i="6" s="1"/>
  <c r="E53" i="6" s="1"/>
  <c r="E54" i="6" s="1"/>
  <c r="E55" i="6" s="1"/>
  <c r="E56" i="6" s="1"/>
  <c r="E57" i="6" s="1"/>
  <c r="E58" i="6" s="1"/>
  <c r="E59" i="6" s="1"/>
  <c r="E60" i="6" s="1"/>
  <c r="E61" i="6" s="1"/>
  <c r="E62" i="6" s="1"/>
  <c r="E63" i="6" s="1"/>
  <c r="E64" i="6" s="1"/>
  <c r="E65" i="6" s="1"/>
  <c r="E66" i="6" s="1"/>
  <c r="E67" i="6" s="1"/>
  <c r="E68" i="6" s="1"/>
  <c r="E69" i="6" s="1"/>
  <c r="M51" i="6"/>
  <c r="M52" i="6" s="1"/>
  <c r="M53" i="6" s="1"/>
  <c r="M54" i="6" s="1"/>
  <c r="M55" i="6" s="1"/>
  <c r="M56" i="6" s="1"/>
  <c r="M57" i="6" s="1"/>
  <c r="M58" i="6" s="1"/>
  <c r="M59" i="6" s="1"/>
  <c r="M60" i="6" s="1"/>
  <c r="M61" i="6" s="1"/>
  <c r="M62" i="6" s="1"/>
  <c r="M63" i="6" s="1"/>
  <c r="M64" i="6" s="1"/>
  <c r="M65" i="6" s="1"/>
  <c r="M66" i="6" s="1"/>
  <c r="M67" i="6" s="1"/>
  <c r="M68" i="6" s="1"/>
  <c r="M69" i="6" s="1"/>
  <c r="C47" i="6"/>
  <c r="K51" i="6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P51" i="6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H51" i="6"/>
  <c r="H52" i="6" s="1"/>
  <c r="H53" i="6" s="1"/>
  <c r="H54" i="6" s="1"/>
  <c r="H55" i="6" s="1"/>
  <c r="H56" i="6" s="1"/>
  <c r="H57" i="6" s="1"/>
  <c r="H58" i="6" s="1"/>
  <c r="H59" i="6" s="1"/>
  <c r="H60" i="6" s="1"/>
  <c r="H61" i="6" s="1"/>
  <c r="H62" i="6" s="1"/>
  <c r="H63" i="6" s="1"/>
  <c r="H64" i="6" s="1"/>
  <c r="H65" i="6" s="1"/>
  <c r="H66" i="6" s="1"/>
  <c r="H67" i="6" s="1"/>
  <c r="H68" i="6" s="1"/>
  <c r="H69" i="6" s="1"/>
  <c r="N51" i="6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D47" i="6"/>
  <c r="C48" i="6"/>
  <c r="O51" i="6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F47" i="6"/>
  <c r="F46" i="6"/>
  <c r="F48" i="6"/>
  <c r="B50" i="6"/>
  <c r="B51" i="6" s="1"/>
  <c r="R39" i="6"/>
  <c r="D48" i="6"/>
  <c r="G52" i="6"/>
  <c r="G53" i="6" s="1"/>
  <c r="G54" i="6" s="1"/>
  <c r="G55" i="6" s="1"/>
  <c r="G56" i="6" s="1"/>
  <c r="G57" i="6" s="1"/>
  <c r="G58" i="6" s="1"/>
  <c r="G59" i="6" s="1"/>
  <c r="G60" i="6" s="1"/>
  <c r="G61" i="6" s="1"/>
  <c r="G62" i="6" s="1"/>
  <c r="G63" i="6" s="1"/>
  <c r="G64" i="6" s="1"/>
  <c r="G65" i="6" s="1"/>
  <c r="G66" i="6" s="1"/>
  <c r="G67" i="6" s="1"/>
  <c r="G68" i="6" s="1"/>
  <c r="G69" i="6" s="1"/>
  <c r="I47" i="6"/>
  <c r="I51" i="6"/>
  <c r="I52" i="6" s="1"/>
  <c r="I53" i="6" s="1"/>
  <c r="I54" i="6" s="1"/>
  <c r="I55" i="6" s="1"/>
  <c r="I56" i="6" s="1"/>
  <c r="I57" i="6" s="1"/>
  <c r="I58" i="6" s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D46" i="6"/>
  <c r="E48" i="6" l="1"/>
  <c r="M46" i="6"/>
  <c r="J46" i="6"/>
  <c r="E46" i="6"/>
  <c r="J48" i="6"/>
  <c r="M48" i="6"/>
  <c r="K48" i="6"/>
  <c r="K46" i="6"/>
  <c r="O46" i="6"/>
  <c r="H46" i="6"/>
  <c r="H48" i="6"/>
  <c r="O48" i="6"/>
  <c r="B47" i="6"/>
  <c r="B52" i="6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48" i="6" s="1"/>
  <c r="N46" i="6"/>
  <c r="I48" i="6"/>
  <c r="N48" i="6"/>
  <c r="P48" i="6"/>
  <c r="G46" i="6"/>
  <c r="P46" i="6"/>
  <c r="G48" i="6"/>
  <c r="I46" i="6"/>
  <c r="B46" i="6" l="1"/>
  <c r="J33" i="2" l="1"/>
  <c r="Q29" i="2"/>
  <c r="Q37" i="2" s="1"/>
  <c r="S12" i="2" l="1"/>
  <c r="S20" i="2"/>
  <c r="T20" i="2" s="1"/>
  <c r="S28" i="2"/>
  <c r="S27" i="2"/>
  <c r="S24" i="2"/>
  <c r="S16" i="2"/>
  <c r="T16" i="2" s="1"/>
  <c r="S19" i="2"/>
  <c r="T19" i="2" s="1"/>
  <c r="S26" i="2"/>
  <c r="S18" i="2"/>
  <c r="T18" i="2" s="1"/>
  <c r="S10" i="2"/>
  <c r="S25" i="2"/>
  <c r="S17" i="2"/>
  <c r="T17" i="2" s="1"/>
  <c r="S23" i="2"/>
  <c r="S15" i="2"/>
  <c r="T15" i="2" s="1"/>
  <c r="S7" i="2"/>
  <c r="S22" i="2"/>
  <c r="S14" i="2"/>
  <c r="T14" i="2" s="1"/>
  <c r="S6" i="2"/>
  <c r="S21" i="2"/>
  <c r="S13" i="2"/>
  <c r="T13" i="2" s="1"/>
  <c r="E29" i="2"/>
  <c r="E74" i="2" s="1"/>
  <c r="S5" i="2"/>
  <c r="H29" i="2"/>
  <c r="H74" i="2" s="1"/>
  <c r="I29" i="2"/>
  <c r="I74" i="2" s="1"/>
  <c r="D29" i="2"/>
  <c r="D74" i="2" s="1"/>
  <c r="C29" i="2"/>
  <c r="C74" i="2" s="1"/>
  <c r="P29" i="2"/>
  <c r="P74" i="2" s="1"/>
  <c r="F29" i="2"/>
  <c r="F74" i="2" s="1"/>
  <c r="G29" i="2"/>
  <c r="G74" i="2" s="1"/>
  <c r="O29" i="2"/>
  <c r="O74" i="2" s="1"/>
  <c r="B29" i="2"/>
  <c r="B74" i="2" s="1"/>
  <c r="B30" i="2"/>
  <c r="Q31" i="2"/>
  <c r="I75" i="2" l="1"/>
  <c r="I76" i="2"/>
  <c r="T22" i="2"/>
  <c r="U22" i="2"/>
  <c r="T26" i="2"/>
  <c r="U26" i="2"/>
  <c r="B76" i="2"/>
  <c r="B75" i="2"/>
  <c r="H76" i="2"/>
  <c r="H75" i="2"/>
  <c r="T7" i="2"/>
  <c r="U7" i="2"/>
  <c r="O75" i="2"/>
  <c r="O76" i="2"/>
  <c r="T5" i="2"/>
  <c r="U5" i="2"/>
  <c r="G75" i="2"/>
  <c r="G76" i="2"/>
  <c r="E75" i="2"/>
  <c r="E76" i="2"/>
  <c r="T23" i="2"/>
  <c r="U23" i="2"/>
  <c r="T24" i="2"/>
  <c r="U24" i="2"/>
  <c r="F75" i="2"/>
  <c r="F76" i="2"/>
  <c r="T27" i="2"/>
  <c r="U27" i="2"/>
  <c r="P75" i="2"/>
  <c r="P76" i="2"/>
  <c r="T21" i="2"/>
  <c r="U21" i="2"/>
  <c r="T25" i="2"/>
  <c r="U25" i="2"/>
  <c r="T28" i="2"/>
  <c r="U28" i="2"/>
  <c r="C76" i="2"/>
  <c r="C75" i="2"/>
  <c r="T6" i="2"/>
  <c r="U6" i="2"/>
  <c r="T10" i="2"/>
  <c r="U10" i="2"/>
  <c r="D76" i="2"/>
  <c r="D75" i="2"/>
  <c r="T12" i="2"/>
  <c r="U12" i="2"/>
  <c r="E49" i="2"/>
  <c r="C49" i="2"/>
  <c r="O49" i="2"/>
  <c r="G49" i="2"/>
  <c r="F49" i="2"/>
  <c r="P49" i="2"/>
  <c r="D49" i="2"/>
  <c r="H49" i="2"/>
  <c r="I49" i="2"/>
  <c r="B37" i="2"/>
  <c r="B77" i="2" s="1"/>
  <c r="B31" i="2"/>
  <c r="H31" i="2"/>
  <c r="O31" i="2"/>
  <c r="G37" i="2"/>
  <c r="G77" i="2" s="1"/>
  <c r="F31" i="2"/>
  <c r="C31" i="2"/>
  <c r="E31" i="2"/>
  <c r="D37" i="2"/>
  <c r="D77" i="2" s="1"/>
  <c r="P31" i="2"/>
  <c r="I31" i="2"/>
  <c r="E37" i="2"/>
  <c r="E77" i="2" s="1"/>
  <c r="F37" i="2"/>
  <c r="F77" i="2" s="1"/>
  <c r="I37" i="2"/>
  <c r="I77" i="2" s="1"/>
  <c r="H37" i="2"/>
  <c r="H77" i="2" s="1"/>
  <c r="G31" i="2"/>
  <c r="P37" i="2"/>
  <c r="P77" i="2" s="1"/>
  <c r="D31" i="2"/>
  <c r="O37" i="2"/>
  <c r="O77" i="2" s="1"/>
  <c r="C37" i="2"/>
  <c r="C77" i="2" s="1"/>
  <c r="S8" i="2" l="1"/>
  <c r="T8" i="2" l="1"/>
  <c r="U8" i="2"/>
  <c r="R31" i="2"/>
  <c r="S11" i="2"/>
  <c r="U11" i="2" s="1"/>
  <c r="S9" i="2"/>
  <c r="T9" i="2" l="1"/>
  <c r="U9" i="2"/>
  <c r="U29" i="2" s="1"/>
  <c r="U30" i="2" s="1"/>
  <c r="T11" i="2"/>
  <c r="T29" i="2" s="1"/>
  <c r="S29" i="2"/>
  <c r="B35" i="2" l="1"/>
  <c r="T30" i="2"/>
  <c r="H38" i="2"/>
  <c r="P38" i="2"/>
  <c r="N38" i="2"/>
  <c r="I38" i="2"/>
  <c r="Q38" i="2"/>
  <c r="M38" i="2"/>
  <c r="J38" i="2"/>
  <c r="F38" i="2"/>
  <c r="O38" i="2"/>
  <c r="C38" i="2"/>
  <c r="C40" i="2" s="1"/>
  <c r="K38" i="2"/>
  <c r="L38" i="2"/>
  <c r="G38" i="2"/>
  <c r="D38" i="2"/>
  <c r="E38" i="2"/>
  <c r="B38" i="2"/>
  <c r="J40" i="2" l="1"/>
  <c r="J39" i="2"/>
  <c r="J50" i="2" s="1"/>
  <c r="L40" i="2"/>
  <c r="L39" i="2"/>
  <c r="L50" i="2" s="1"/>
  <c r="N40" i="2"/>
  <c r="N39" i="2"/>
  <c r="N50" i="2" s="1"/>
  <c r="K40" i="2"/>
  <c r="K39" i="2"/>
  <c r="K50" i="2" s="1"/>
  <c r="M40" i="2"/>
  <c r="M39" i="2"/>
  <c r="M50" i="2" s="1"/>
  <c r="B39" i="2"/>
  <c r="B50" i="2" s="1"/>
  <c r="B47" i="2" s="1"/>
  <c r="I39" i="2"/>
  <c r="I50" i="2" s="1"/>
  <c r="C39" i="2"/>
  <c r="C50" i="2" s="1"/>
  <c r="B40" i="2"/>
  <c r="D40" i="2"/>
  <c r="D39" i="2"/>
  <c r="D50" i="2" s="1"/>
  <c r="G40" i="2"/>
  <c r="G39" i="2"/>
  <c r="G50" i="2" s="1"/>
  <c r="F40" i="2"/>
  <c r="F39" i="2"/>
  <c r="F50" i="2" s="1"/>
  <c r="Q39" i="2"/>
  <c r="O40" i="2"/>
  <c r="O39" i="2"/>
  <c r="O50" i="2" s="1"/>
  <c r="P40" i="2"/>
  <c r="P39" i="2"/>
  <c r="P50" i="2" s="1"/>
  <c r="H40" i="2"/>
  <c r="H39" i="2"/>
  <c r="H50" i="2" s="1"/>
  <c r="E40" i="2"/>
  <c r="E39" i="2"/>
  <c r="E50" i="2" s="1"/>
  <c r="N47" i="2" l="1"/>
  <c r="N51" i="2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L51" i="2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47" i="2"/>
  <c r="J51" i="2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47" i="2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47" i="2"/>
  <c r="M47" i="2"/>
  <c r="M51" i="2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D47" i="2"/>
  <c r="P47" i="2"/>
  <c r="O47" i="2"/>
  <c r="G47" i="2"/>
  <c r="C47" i="2"/>
  <c r="E47" i="2"/>
  <c r="H47" i="2"/>
  <c r="F47" i="2"/>
  <c r="I47" i="2"/>
  <c r="P51" i="2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D51" i="2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C51" i="2"/>
  <c r="C52" i="2" s="1"/>
  <c r="C53" i="2" s="1"/>
  <c r="C54" i="2" s="1"/>
  <c r="C55" i="2" s="1"/>
  <c r="C56" i="2" s="1"/>
  <c r="C57" i="2" s="1"/>
  <c r="C58" i="2" s="1"/>
  <c r="C59" i="2" s="1"/>
  <c r="C60" i="2" s="1"/>
  <c r="C61" i="2" s="1"/>
  <c r="C62" i="2" s="1"/>
  <c r="C63" i="2" s="1"/>
  <c r="C64" i="2" s="1"/>
  <c r="C65" i="2" s="1"/>
  <c r="C66" i="2" s="1"/>
  <c r="C67" i="2" s="1"/>
  <c r="C68" i="2" s="1"/>
  <c r="C69" i="2" s="1"/>
  <c r="G51" i="2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O51" i="2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E51" i="2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F51" i="2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H51" i="2"/>
  <c r="H52" i="2" s="1"/>
  <c r="H53" i="2" s="1"/>
  <c r="H54" i="2" s="1"/>
  <c r="H55" i="2" s="1"/>
  <c r="H56" i="2" s="1"/>
  <c r="H57" i="2" s="1"/>
  <c r="H58" i="2" s="1"/>
  <c r="H59" i="2" s="1"/>
  <c r="H60" i="2" s="1"/>
  <c r="H61" i="2" s="1"/>
  <c r="H62" i="2" s="1"/>
  <c r="H63" i="2" s="1"/>
  <c r="H64" i="2" s="1"/>
  <c r="H65" i="2" s="1"/>
  <c r="H66" i="2" s="1"/>
  <c r="H67" i="2" s="1"/>
  <c r="H68" i="2" s="1"/>
  <c r="H69" i="2" s="1"/>
  <c r="I51" i="2"/>
  <c r="I52" i="2" s="1"/>
  <c r="I53" i="2" s="1"/>
  <c r="I54" i="2" s="1"/>
  <c r="I55" i="2" s="1"/>
  <c r="I56" i="2" s="1"/>
  <c r="I57" i="2" s="1"/>
  <c r="I58" i="2" s="1"/>
  <c r="I59" i="2" s="1"/>
  <c r="I60" i="2" s="1"/>
  <c r="I61" i="2" s="1"/>
  <c r="I62" i="2" s="1"/>
  <c r="I63" i="2" s="1"/>
  <c r="I64" i="2" s="1"/>
  <c r="I65" i="2" s="1"/>
  <c r="I66" i="2" s="1"/>
  <c r="I67" i="2" s="1"/>
  <c r="I68" i="2" s="1"/>
  <c r="I69" i="2" s="1"/>
  <c r="I40" i="2"/>
  <c r="B51" i="2"/>
  <c r="L48" i="2" l="1"/>
  <c r="K46" i="2"/>
  <c r="K48" i="2"/>
  <c r="N46" i="2"/>
  <c r="M46" i="2"/>
  <c r="J46" i="2"/>
  <c r="M48" i="2"/>
  <c r="J48" i="2"/>
  <c r="L46" i="2"/>
  <c r="N48" i="2"/>
  <c r="E46" i="2"/>
  <c r="O48" i="2"/>
  <c r="H46" i="2"/>
  <c r="P48" i="2"/>
  <c r="I46" i="2"/>
  <c r="E48" i="2"/>
  <c r="P46" i="2"/>
  <c r="G46" i="2"/>
  <c r="G48" i="2"/>
  <c r="D48" i="2"/>
  <c r="I48" i="2"/>
  <c r="F46" i="2"/>
  <c r="C48" i="2"/>
  <c r="D46" i="2"/>
  <c r="H48" i="2"/>
  <c r="F48" i="2"/>
  <c r="C46" i="2"/>
  <c r="O46" i="2"/>
  <c r="B52" i="2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46" i="2" s="1"/>
  <c r="B48" i="2" l="1"/>
</calcChain>
</file>

<file path=xl/sharedStrings.xml><?xml version="1.0" encoding="utf-8"?>
<sst xmlns="http://schemas.openxmlformats.org/spreadsheetml/2006/main" count="150" uniqueCount="60">
  <si>
    <t>PDE</t>
  </si>
  <si>
    <t>HORA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</si>
  <si>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</si>
  <si>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</si>
  <si>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</si>
  <si>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</si>
  <si>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</si>
  <si>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</si>
  <si>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</si>
  <si>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</si>
  <si>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</si>
  <si>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</si>
  <si>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TOTAL</t>
  </si>
  <si>
    <t>PAGO sin CE (MCOP/yr)</t>
  </si>
  <si>
    <t>kWh/yr</t>
  </si>
  <si>
    <t>kWh/day</t>
  </si>
  <si>
    <t>CU (COP/kWh)</t>
  </si>
  <si>
    <t>MCm (COP/kWh)</t>
  </si>
  <si>
    <t>Td</t>
  </si>
  <si>
    <t>Vida</t>
  </si>
  <si>
    <t>años</t>
  </si>
  <si>
    <t>MCOP por apartamento</t>
  </si>
  <si>
    <t>Parque de</t>
  </si>
  <si>
    <t>paneles</t>
  </si>
  <si>
    <t>m2</t>
  </si>
  <si>
    <t>Ahorro (%)</t>
  </si>
  <si>
    <t>Flujo de Caja (MCOP/yr)</t>
  </si>
  <si>
    <t>NPV</t>
  </si>
  <si>
    <t>IRR</t>
  </si>
  <si>
    <t>PBT</t>
  </si>
  <si>
    <t>years</t>
  </si>
  <si>
    <t>kWp</t>
  </si>
  <si>
    <t>Cv o CU-G (COP/kWh)</t>
  </si>
  <si>
    <t>CAPEX PV (paneles + inversor)</t>
  </si>
  <si>
    <t>Valoracion de Excedentes</t>
  </si>
  <si>
    <t>Share</t>
  </si>
  <si>
    <t>D11</t>
  </si>
  <si>
    <t>LOAD PATTERN</t>
  </si>
  <si>
    <t>SOLAR PATTERN</t>
  </si>
  <si>
    <t>EXPORTACION</t>
  </si>
  <si>
    <t>EcedenteTotAL (kWh)</t>
  </si>
  <si>
    <t>Share2</t>
  </si>
  <si>
    <t>MCOP</t>
  </si>
  <si>
    <t>Initial investment 0</t>
  </si>
  <si>
    <t>D12</t>
  </si>
  <si>
    <t>D13</t>
  </si>
  <si>
    <t>D14</t>
  </si>
  <si>
    <t>D15</t>
  </si>
  <si>
    <t>D16</t>
  </si>
  <si>
    <t>G16</t>
  </si>
  <si>
    <t>COMUNIDAD ENERGETICA DE 15 VIVIENDAS EN Propiedad Horizontal + SERVICIOS GENERALES</t>
  </si>
  <si>
    <t>PLANO</t>
  </si>
  <si>
    <t>AHORRO G</t>
  </si>
  <si>
    <t>kWh por mes</t>
  </si>
  <si>
    <t>kWh por año</t>
  </si>
  <si>
    <t>Factura mensual (COP)</t>
  </si>
  <si>
    <t>Factura anuall (millones COP)</t>
  </si>
  <si>
    <t>VE en CE (MCOP/yr)</t>
  </si>
  <si>
    <t>totak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</si>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</sst>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5" formatCode="0.0000"/>
    <numFmt numFmtId="176" formatCode="0.000"/>
    <numFmt numFmtId="177" formatCode="0.0"/>
    <numFmt numFmtId="182" formatCode="0.0%"/>
  </numFmts>
  <fonts count="1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  <scheme val="minor"/>
    </font>
    <font>
      <sz val="10"/>
      <color theme="1"/>
      <name val="Arial"/>
      <family val="2"/>
    </font>
    <font>
      <sz val="12"/>
      <color theme="9" tint="-0.499984740745262"/>
      <name val="Calibri"/>
      <family val="2"/>
      <scheme val="minor"/>
    </font>
    <font>
      <b/>
      <sz val="12"/>
      <color rgb="FF92D05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9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  <xf numFmtId="9" fontId="0" fillId="0" borderId="0" xfId="1" applyFont="1"/>
    <xf numFmtId="9" fontId="0" fillId="0" borderId="0" xfId="0" applyNumberFormat="1"/>
    <xf numFmtId="0" fontId="2" fillId="0" borderId="0" xfId="0" applyFont="1"/>
    <xf numFmtId="2" fontId="2" fillId="0" borderId="0" xfId="0" applyNumberFormat="1" applyFont="1"/>
    <xf numFmtId="9" fontId="2" fillId="0" borderId="0" xfId="0" applyNumberFormat="1" applyFont="1"/>
    <xf numFmtId="0" fontId="0" fillId="0" borderId="0" xfId="0" applyAlignment="1">
      <alignment horizontal="center"/>
    </xf>
    <xf numFmtId="0" fontId="5" fillId="0" borderId="0" xfId="0" applyFont="1"/>
    <xf numFmtId="0" fontId="3" fillId="0" borderId="0" xfId="0" applyFont="1"/>
    <xf numFmtId="0" fontId="6" fillId="0" borderId="0" xfId="0" applyFont="1"/>
    <xf numFmtId="0" fontId="6" fillId="0" borderId="1" xfId="0" applyFont="1" applyBorder="1"/>
    <xf numFmtId="0" fontId="0" fillId="0" borderId="0" xfId="0" applyFill="1"/>
    <xf numFmtId="0" fontId="7" fillId="0" borderId="0" xfId="0" applyFont="1"/>
    <xf numFmtId="0" fontId="7" fillId="0" borderId="0" xfId="0" applyFont="1" applyFill="1"/>
    <xf numFmtId="0" fontId="7" fillId="2" borderId="0" xfId="0" applyFont="1" applyFill="1"/>
    <xf numFmtId="175" fontId="0" fillId="0" borderId="0" xfId="0" applyNumberFormat="1"/>
    <xf numFmtId="175" fontId="0" fillId="0" borderId="0" xfId="0" applyNumberFormat="1" applyFill="1"/>
    <xf numFmtId="177" fontId="7" fillId="0" borderId="0" xfId="0" applyNumberFormat="1" applyFont="1"/>
    <xf numFmtId="177" fontId="7" fillId="0" borderId="0" xfId="0" applyNumberFormat="1" applyFont="1" applyFill="1"/>
    <xf numFmtId="177" fontId="0" fillId="0" borderId="0" xfId="0" applyNumberFormat="1"/>
    <xf numFmtId="177" fontId="0" fillId="0" borderId="0" xfId="0" applyNumberFormat="1" applyFill="1"/>
    <xf numFmtId="176" fontId="0" fillId="0" borderId="0" xfId="1" applyNumberFormat="1" applyFont="1"/>
    <xf numFmtId="0" fontId="0" fillId="0" borderId="0" xfId="0" applyAlignment="1">
      <alignment horizontal="right"/>
    </xf>
    <xf numFmtId="0" fontId="0" fillId="4" borderId="0" xfId="0" applyFill="1"/>
    <xf numFmtId="0" fontId="6" fillId="4" borderId="0" xfId="0" applyFont="1" applyFill="1"/>
    <xf numFmtId="0" fontId="6" fillId="4" borderId="1" xfId="0" applyFont="1" applyFill="1" applyBorder="1"/>
    <xf numFmtId="175" fontId="0" fillId="3" borderId="0" xfId="0" applyNumberFormat="1" applyFill="1"/>
    <xf numFmtId="0" fontId="8" fillId="0" borderId="0" xfId="0" applyFont="1"/>
    <xf numFmtId="10" fontId="0" fillId="3" borderId="0" xfId="1" applyNumberFormat="1" applyFont="1" applyFill="1"/>
    <xf numFmtId="10" fontId="0" fillId="0" borderId="0" xfId="1" applyNumberFormat="1" applyFont="1"/>
    <xf numFmtId="0" fontId="0" fillId="5" borderId="0" xfId="0" applyFill="1"/>
    <xf numFmtId="0" fontId="0" fillId="5" borderId="2" xfId="0" applyFill="1" applyBorder="1"/>
    <xf numFmtId="177" fontId="0" fillId="5" borderId="2" xfId="0" applyNumberFormat="1" applyFill="1" applyBorder="1"/>
    <xf numFmtId="0" fontId="0" fillId="5" borderId="0" xfId="0" applyFill="1" applyBorder="1"/>
    <xf numFmtId="177" fontId="0" fillId="5" borderId="0" xfId="0" applyNumberFormat="1" applyFill="1" applyBorder="1"/>
    <xf numFmtId="0" fontId="0" fillId="5" borderId="1" xfId="0" applyFill="1" applyBorder="1"/>
    <xf numFmtId="177" fontId="0" fillId="5" borderId="1" xfId="0" applyNumberFormat="1" applyFill="1" applyBorder="1"/>
    <xf numFmtId="0" fontId="0" fillId="6" borderId="0" xfId="0" applyFill="1"/>
    <xf numFmtId="9" fontId="0" fillId="6" borderId="0" xfId="1" applyFont="1" applyFill="1"/>
    <xf numFmtId="0" fontId="0" fillId="0" borderId="0" xfId="0" applyFont="1"/>
    <xf numFmtId="0" fontId="3" fillId="0" borderId="2" xfId="0" applyFont="1" applyBorder="1"/>
    <xf numFmtId="2" fontId="3" fillId="0" borderId="2" xfId="0" applyNumberFormat="1" applyFont="1" applyBorder="1"/>
    <xf numFmtId="0" fontId="3" fillId="0" borderId="0" xfId="0" applyFont="1" applyBorder="1"/>
    <xf numFmtId="2" fontId="0" fillId="0" borderId="0" xfId="0" applyNumberFormat="1" applyBorder="1"/>
    <xf numFmtId="0" fontId="9" fillId="0" borderId="1" xfId="0" applyFont="1" applyBorder="1"/>
    <xf numFmtId="2" fontId="9" fillId="0" borderId="1" xfId="0" applyNumberFormat="1" applyFont="1" applyBorder="1"/>
    <xf numFmtId="0" fontId="0" fillId="0" borderId="0" xfId="0" applyBorder="1"/>
    <xf numFmtId="0" fontId="10" fillId="0" borderId="1" xfId="0" applyFont="1" applyBorder="1"/>
    <xf numFmtId="176" fontId="3" fillId="0" borderId="2" xfId="0" applyNumberFormat="1" applyFont="1" applyBorder="1"/>
    <xf numFmtId="176" fontId="0" fillId="0" borderId="0" xfId="0" applyNumberFormat="1" applyBorder="1"/>
    <xf numFmtId="176" fontId="10" fillId="0" borderId="1" xfId="0" applyNumberFormat="1" applyFont="1" applyBorder="1"/>
    <xf numFmtId="182" fontId="0" fillId="6" borderId="0" xfId="1" applyNumberFormat="1" applyFont="1" applyFill="1"/>
    <xf numFmtId="0" fontId="10" fillId="0" borderId="2" xfId="0" applyFont="1" applyBorder="1"/>
    <xf numFmtId="0" fontId="10" fillId="0" borderId="0" xfId="0" applyFont="1"/>
    <xf numFmtId="0" fontId="11" fillId="0" borderId="0" xfId="0" applyFont="1" applyBorder="1"/>
    <xf numFmtId="0" fontId="11" fillId="0" borderId="0" xfId="0" applyFont="1"/>
    <xf numFmtId="0" fontId="12" fillId="0" borderId="1" xfId="0" applyFont="1" applyBorder="1"/>
    <xf numFmtId="10" fontId="12" fillId="0" borderId="1" xfId="0" applyNumberFormat="1" applyFont="1" applyBorder="1"/>
    <xf numFmtId="0" fontId="12" fillId="0" borderId="0" xfId="0" applyFont="1"/>
    <xf numFmtId="177" fontId="10" fillId="0" borderId="2" xfId="1" applyNumberFormat="1" applyFont="1" applyBorder="1"/>
    <xf numFmtId="177" fontId="11" fillId="0" borderId="0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'Share Optimo'!$S$5:$S$28</c:f>
              <c:numCache>
                <c:formatCode>General</c:formatCode>
                <c:ptCount val="24"/>
                <c:pt idx="0">
                  <c:v>4.3997568277510757</c:v>
                </c:pt>
                <c:pt idx="1">
                  <c:v>3.983614387688895</c:v>
                </c:pt>
                <c:pt idx="2">
                  <c:v>3.9167119540523632</c:v>
                </c:pt>
                <c:pt idx="3">
                  <c:v>3.7882843850258467</c:v>
                </c:pt>
                <c:pt idx="4">
                  <c:v>4.2941558616346596</c:v>
                </c:pt>
                <c:pt idx="5">
                  <c:v>9.9340494035892313</c:v>
                </c:pt>
                <c:pt idx="6">
                  <c:v>11.655840578752004</c:v>
                </c:pt>
                <c:pt idx="7">
                  <c:v>3.7878624553557803</c:v>
                </c:pt>
                <c:pt idx="8">
                  <c:v>-10.074968889616768</c:v>
                </c:pt>
                <c:pt idx="9">
                  <c:v>-18.676477884612318</c:v>
                </c:pt>
                <c:pt idx="10">
                  <c:v>-22.563109523035791</c:v>
                </c:pt>
                <c:pt idx="11">
                  <c:v>-22.792464926826533</c:v>
                </c:pt>
                <c:pt idx="12">
                  <c:v>-23.04227729160408</c:v>
                </c:pt>
                <c:pt idx="13">
                  <c:v>-19.850830531823668</c:v>
                </c:pt>
                <c:pt idx="14">
                  <c:v>-15.574663735450343</c:v>
                </c:pt>
                <c:pt idx="15">
                  <c:v>-8.1011037771404553</c:v>
                </c:pt>
                <c:pt idx="16">
                  <c:v>2.0600791450251457</c:v>
                </c:pt>
                <c:pt idx="17">
                  <c:v>12.901198630121719</c:v>
                </c:pt>
                <c:pt idx="18">
                  <c:v>19.644879596000113</c:v>
                </c:pt>
                <c:pt idx="19">
                  <c:v>21.475957851410566</c:v>
                </c:pt>
                <c:pt idx="20">
                  <c:v>22.221125763023476</c:v>
                </c:pt>
                <c:pt idx="21">
                  <c:v>16.553143282437617</c:v>
                </c:pt>
                <c:pt idx="22">
                  <c:v>11.669208995895987</c:v>
                </c:pt>
                <c:pt idx="23">
                  <c:v>6.5904963415245765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6F-9C46-9533-1A9D1D43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118368"/>
        <c:axId val="575120096"/>
      </c:lineChart>
      <c:catAx>
        <c:axId val="57511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0096"/>
        <c:crosses val="autoZero"/>
        <c:auto val="1"/>
        <c:lblAlgn val="ctr"/>
        <c:lblOffset val="100"/>
        <c:noMultiLvlLbl val="0"/>
      </c:catAx>
      <c:valAx>
        <c:axId val="5751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</a:t>
            </a:r>
            <a:r>
              <a:rPr lang="en-US" baseline="0"/>
              <a:t> - D10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'Share Optimo'!$B$5:$B$28</c:f>
              <c:numCache>
                <c:formatCode>General</c:formatCode>
                <c:ptCount val="24"/>
                <c:pt idx="0">
                  <c:v>0.23421006228271449</c:v>
                </c:pt>
                <c:pt idx="1">
                  <c:v>0.24966323416196623</c:v>
                </c:pt>
                <c:pt idx="2">
                  <c:v>0.31201919816534907</c:v>
                </c:pt>
                <c:pt idx="3">
                  <c:v>0.18794906836411129</c:v>
                </c:pt>
                <c:pt idx="4">
                  <c:v>0.35097969154103248</c:v>
                </c:pt>
                <c:pt idx="5">
                  <c:v>0.68852055420489022</c:v>
                </c:pt>
                <c:pt idx="6">
                  <c:v>0.98943651517776932</c:v>
                </c:pt>
                <c:pt idx="7">
                  <c:v>0.92714311797687421</c:v>
                </c:pt>
                <c:pt idx="8">
                  <c:v>0.53883459390004163</c:v>
                </c:pt>
                <c:pt idx="9">
                  <c:v>0.37084108595509274</c:v>
                </c:pt>
                <c:pt idx="10">
                  <c:v>0.46330867427505035</c:v>
                </c:pt>
                <c:pt idx="11">
                  <c:v>0.70425881540338231</c:v>
                </c:pt>
                <c:pt idx="12">
                  <c:v>0.69422851035616395</c:v>
                </c:pt>
                <c:pt idx="13">
                  <c:v>0.74405454127186299</c:v>
                </c:pt>
                <c:pt idx="14">
                  <c:v>0.5358418595792418</c:v>
                </c:pt>
                <c:pt idx="15">
                  <c:v>0.61149304356394441</c:v>
                </c:pt>
                <c:pt idx="16">
                  <c:v>0.86080543831311407</c:v>
                </c:pt>
                <c:pt idx="17">
                  <c:v>1.2621736517501843</c:v>
                </c:pt>
                <c:pt idx="18">
                  <c:v>1.6620181155136309</c:v>
                </c:pt>
                <c:pt idx="19">
                  <c:v>1.0333225023312895</c:v>
                </c:pt>
                <c:pt idx="20">
                  <c:v>1.5935684307481546</c:v>
                </c:pt>
                <c:pt idx="21">
                  <c:v>0.97070447599705567</c:v>
                </c:pt>
                <c:pt idx="22">
                  <c:v>0.66425807899462863</c:v>
                </c:pt>
                <c:pt idx="23">
                  <c:v>0.50017992222501151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34-FC43-BD21-4C8CEBF7C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745872"/>
        <c:axId val="587747600"/>
      </c:lineChart>
      <c:catAx>
        <c:axId val="58774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47600"/>
        <c:crosses val="autoZero"/>
        <c:auto val="1"/>
        <c:lblAlgn val="ctr"/>
        <c:lblOffset val="100"/>
        <c:noMultiLvlLbl val="0"/>
      </c:catAx>
      <c:valAx>
        <c:axId val="5877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D11 y G11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'Share Optimo'!$Q$5:$Q$28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3C-D041-8891-FBE6152B3E3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'Share Optimo'!$R$5:$R$28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-2.3746375000000004</c:v>
                </c:pt>
                <c:pt idx="7">
                  <c:v>-10.001716666666667</c:v>
                </c:pt>
                <c:pt idx="8">
                  <c:v>-18.597145833333332</c:v>
                </c:pt>
                <c:pt idx="9">
                  <c:v>-25.609312499999998</c:v>
                </c:pt>
                <c:pt idx="10">
                  <c:v>-30.256341666666664</c:v>
                </c:pt>
                <c:pt idx="11">
                  <c:v>-32.265491666666669</c:v>
                </c:pt>
                <c:pt idx="12">
                  <c:v>-31.362883333333329</c:v>
                </c:pt>
                <c:pt idx="13">
                  <c:v>-28.439995833333338</c:v>
                </c:pt>
                <c:pt idx="14">
                  <c:v>-23.660262500000005</c:v>
                </c:pt>
                <c:pt idx="15">
                  <c:v>-16.858070833333336</c:v>
                </c:pt>
                <c:pt idx="16">
                  <c:v>-9.4285041666666665</c:v>
                </c:pt>
                <c:pt idx="17">
                  <c:v>-2.1756791666666668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3C-D041-8891-FBE6152B3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478304"/>
        <c:axId val="588207888"/>
      </c:lineChart>
      <c:catAx>
        <c:axId val="58747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07888"/>
        <c:crosses val="autoZero"/>
        <c:auto val="1"/>
        <c:lblAlgn val="ctr"/>
        <c:lblOffset val="100"/>
        <c:noMultiLvlLbl val="0"/>
      </c:catAx>
      <c:valAx>
        <c:axId val="5882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78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PBT (años)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'Share Optimo'!$B$47:$P$47</c:f>
              <c:numCache>
                <c:formatCode>0.0</c:formatCode>
                <c:ptCount val="15"/>
                <c:pt idx="0">
                  <c:v>9.0107879550603087</c:v>
                </c:pt>
                <c:pt idx="1">
                  <c:v>8.433833040339529</c:v>
                </c:pt>
                <c:pt idx="2">
                  <c:v>9.5164488122441657</c:v>
                </c:pt>
                <c:pt idx="3">
                  <c:v>9.1735116054340509</c:v>
                </c:pt>
                <c:pt idx="4">
                  <c:v>9.091256875840223</c:v>
                </c:pt>
                <c:pt idx="5">
                  <c:v>10.528623654118407</c:v>
                </c:pt>
                <c:pt idx="6">
                  <c:v>9.5232211095029147</c:v>
                </c:pt>
                <c:pt idx="7">
                  <c:v>9.1614545021273983</c:v>
                </c:pt>
                <c:pt idx="8">
                  <c:v>9.6139934712845516</c:v>
                </c:pt>
                <c:pt idx="9">
                  <c:v>9.6112631431284079</c:v>
                </c:pt>
                <c:pt idx="10">
                  <c:v>9.0121069640532916</c:v>
                </c:pt>
                <c:pt idx="11">
                  <c:v>10.011510238057816</c:v>
                </c:pt>
                <c:pt idx="12">
                  <c:v>8.9205983579879362</c:v>
                </c:pt>
                <c:pt idx="13">
                  <c:v>9.0406619767027809</c:v>
                </c:pt>
                <c:pt idx="14">
                  <c:v>10.527796464641286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C-AE43-8E5E-DCB9098F5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8489743"/>
        <c:axId val="665225823"/>
      </c:barChart>
      <c:catAx>
        <c:axId val="968489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5225823"/>
        <c:crosses val="autoZero"/>
        <c:auto val="1"/>
        <c:lblAlgn val="ctr"/>
        <c:lblOffset val="100"/>
        <c:noMultiLvlLbl val="0"/>
      </c:catAx>
      <c:valAx>
        <c:axId val="665225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8489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Base!$S$5:$S$28</c:f>
              <c:numCache>
                <c:formatCode>General</c:formatCode>
                <c:ptCount val="24"/>
                <c:pt idx="0">
                  <c:v>4.3997568277510757</c:v>
                </c:pt>
                <c:pt idx="1">
                  <c:v>3.983614387688895</c:v>
                </c:pt>
                <c:pt idx="2">
                  <c:v>3.9167119540523632</c:v>
                </c:pt>
                <c:pt idx="3">
                  <c:v>3.7882843850258467</c:v>
                </c:pt>
                <c:pt idx="4">
                  <c:v>4.2941558616346596</c:v>
                </c:pt>
                <c:pt idx="5">
                  <c:v>9.9340494035892313</c:v>
                </c:pt>
                <c:pt idx="6">
                  <c:v>11.655840578752004</c:v>
                </c:pt>
                <c:pt idx="7">
                  <c:v>3.7878624553557803</c:v>
                </c:pt>
                <c:pt idx="8">
                  <c:v>-10.074968889616768</c:v>
                </c:pt>
                <c:pt idx="9">
                  <c:v>-18.676477884612318</c:v>
                </c:pt>
                <c:pt idx="10">
                  <c:v>-22.563109523035791</c:v>
                </c:pt>
                <c:pt idx="11">
                  <c:v>-22.792464926826533</c:v>
                </c:pt>
                <c:pt idx="12">
                  <c:v>-23.04227729160408</c:v>
                </c:pt>
                <c:pt idx="13">
                  <c:v>-19.850830531823668</c:v>
                </c:pt>
                <c:pt idx="14">
                  <c:v>-15.574663735450343</c:v>
                </c:pt>
                <c:pt idx="15">
                  <c:v>-8.1011037771404553</c:v>
                </c:pt>
                <c:pt idx="16">
                  <c:v>2.0600791450251457</c:v>
                </c:pt>
                <c:pt idx="17">
                  <c:v>12.901198630121719</c:v>
                </c:pt>
                <c:pt idx="18">
                  <c:v>19.644879596000113</c:v>
                </c:pt>
                <c:pt idx="19">
                  <c:v>21.475957851410566</c:v>
                </c:pt>
                <c:pt idx="20">
                  <c:v>22.221125763023476</c:v>
                </c:pt>
                <c:pt idx="21">
                  <c:v>16.553143282437617</c:v>
                </c:pt>
                <c:pt idx="22">
                  <c:v>11.669208995895987</c:v>
                </c:pt>
                <c:pt idx="23">
                  <c:v>6.5904963415245765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A8-EA4C-8FEA-27BA43B4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118368"/>
        <c:axId val="575120096"/>
      </c:lineChart>
      <c:catAx>
        <c:axId val="5751183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20096"/>
        <c:crosses val="autoZero"/>
        <c:auto val="1"/>
        <c:lblAlgn val="ctr"/>
        <c:lblOffset val="100"/>
        <c:noMultiLvlLbl val="0"/>
      </c:catAx>
      <c:valAx>
        <c:axId val="57512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118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D1</a:t>
            </a:r>
            <a:r>
              <a:rPr lang="en-US" baseline="0"/>
              <a:t> - D10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Base!$B$5:$B$28</c:f>
              <c:numCache>
                <c:formatCode>General</c:formatCode>
                <c:ptCount val="24"/>
                <c:pt idx="0">
                  <c:v>0.23421006228271449</c:v>
                </c:pt>
                <c:pt idx="1">
                  <c:v>0.24966323416196623</c:v>
                </c:pt>
                <c:pt idx="2">
                  <c:v>0.31201919816534907</c:v>
                </c:pt>
                <c:pt idx="3">
                  <c:v>0.18794906836411129</c:v>
                </c:pt>
                <c:pt idx="4">
                  <c:v>0.35097969154103248</c:v>
                </c:pt>
                <c:pt idx="5">
                  <c:v>0.68852055420489022</c:v>
                </c:pt>
                <c:pt idx="6">
                  <c:v>0.98943651517776932</c:v>
                </c:pt>
                <c:pt idx="7">
                  <c:v>0.92714311797687421</c:v>
                </c:pt>
                <c:pt idx="8">
                  <c:v>0.53883459390004163</c:v>
                </c:pt>
                <c:pt idx="9">
                  <c:v>0.37084108595509274</c:v>
                </c:pt>
                <c:pt idx="10">
                  <c:v>0.46330867427505035</c:v>
                </c:pt>
                <c:pt idx="11">
                  <c:v>0.70425881540338231</c:v>
                </c:pt>
                <c:pt idx="12">
                  <c:v>0.69422851035616395</c:v>
                </c:pt>
                <c:pt idx="13">
                  <c:v>0.74405454127186299</c:v>
                </c:pt>
                <c:pt idx="14">
                  <c:v>0.5358418595792418</c:v>
                </c:pt>
                <c:pt idx="15">
                  <c:v>0.61149304356394441</c:v>
                </c:pt>
                <c:pt idx="16">
                  <c:v>0.86080543831311407</c:v>
                </c:pt>
                <c:pt idx="17">
                  <c:v>1.2621736517501843</c:v>
                </c:pt>
                <c:pt idx="18">
                  <c:v>1.6620181155136309</c:v>
                </c:pt>
                <c:pt idx="19">
                  <c:v>1.0333225023312895</c:v>
                </c:pt>
                <c:pt idx="20">
                  <c:v>1.5935684307481546</c:v>
                </c:pt>
                <c:pt idx="21">
                  <c:v>0.97070447599705567</c:v>
                </c:pt>
                <c:pt idx="22">
                  <c:v>0.66425807899462863</c:v>
                </c:pt>
                <c:pt idx="23">
                  <c:v>0.50017992222501151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E4-4745-907F-3EF3B56B7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745872"/>
        <c:axId val="587747600"/>
      </c:lineChart>
      <c:catAx>
        <c:axId val="58774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47600"/>
        <c:crosses val="autoZero"/>
        <c:auto val="1"/>
        <c:lblAlgn val="ctr"/>
        <c:lblOffset val="100"/>
        <c:noMultiLvlLbl val="0"/>
      </c:catAx>
      <c:valAx>
        <c:axId val="58774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45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Base!$R$5:$R$28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-2.3746375000000004</c:v>
                </c:pt>
                <c:pt idx="7">
                  <c:v>-10.001716666666667</c:v>
                </c:pt>
                <c:pt idx="8">
                  <c:v>-18.597145833333332</c:v>
                </c:pt>
                <c:pt idx="9">
                  <c:v>-25.609312499999998</c:v>
                </c:pt>
                <c:pt idx="10">
                  <c:v>-30.256341666666664</c:v>
                </c:pt>
                <c:pt idx="11">
                  <c:v>-32.265491666666669</c:v>
                </c:pt>
                <c:pt idx="12">
                  <c:v>-31.362883333333329</c:v>
                </c:pt>
                <c:pt idx="13">
                  <c:v>-28.439995833333338</c:v>
                </c:pt>
                <c:pt idx="14">
                  <c:v>-23.660262500000005</c:v>
                </c:pt>
                <c:pt idx="15">
                  <c:v>-16.858070833333336</c:v>
                </c:pt>
                <c:pt idx="16">
                  <c:v>-9.4285041666666665</c:v>
                </c:pt>
                <c:pt idx="17">
                  <c:v>-2.1756791666666668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C1-914B-ABB3-C9A14F892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478304"/>
        <c:axId val="588207888"/>
      </c:lineChart>
      <c:catAx>
        <c:axId val="587478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207888"/>
        <c:crosses val="autoZero"/>
        <c:auto val="1"/>
        <c:lblAlgn val="ctr"/>
        <c:lblOffset val="100"/>
        <c:noMultiLvlLbl val="0"/>
      </c:catAx>
      <c:valAx>
        <c:axId val="5882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478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Base!$B$4</c:f>
              <c:strCache>
                <c:ptCount val="1"/>
                <c:pt idx="0">
                  <c:v>D1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Base!$B$5:$B$28</c:f>
              <c:numCache>
                <c:formatCode>General</c:formatCode>
                <c:ptCount val="24"/>
                <c:pt idx="0">
                  <c:v>0.23421006228271449</c:v>
                </c:pt>
                <c:pt idx="1">
                  <c:v>0.24966323416196623</c:v>
                </c:pt>
                <c:pt idx="2">
                  <c:v>0.31201919816534907</c:v>
                </c:pt>
                <c:pt idx="3">
                  <c:v>0.18794906836411129</c:v>
                </c:pt>
                <c:pt idx="4">
                  <c:v>0.35097969154103248</c:v>
                </c:pt>
                <c:pt idx="5">
                  <c:v>0.68852055420489022</c:v>
                </c:pt>
                <c:pt idx="6">
                  <c:v>0.98943651517776932</c:v>
                </c:pt>
                <c:pt idx="7">
                  <c:v>0.92714311797687421</c:v>
                </c:pt>
                <c:pt idx="8">
                  <c:v>0.53883459390004163</c:v>
                </c:pt>
                <c:pt idx="9">
                  <c:v>0.37084108595509274</c:v>
                </c:pt>
                <c:pt idx="10">
                  <c:v>0.46330867427505035</c:v>
                </c:pt>
                <c:pt idx="11">
                  <c:v>0.70425881540338231</c:v>
                </c:pt>
                <c:pt idx="12">
                  <c:v>0.69422851035616395</c:v>
                </c:pt>
                <c:pt idx="13">
                  <c:v>0.74405454127186299</c:v>
                </c:pt>
                <c:pt idx="14">
                  <c:v>0.5358418595792418</c:v>
                </c:pt>
                <c:pt idx="15">
                  <c:v>0.61149304356394441</c:v>
                </c:pt>
                <c:pt idx="16">
                  <c:v>0.86080543831311407</c:v>
                </c:pt>
                <c:pt idx="17">
                  <c:v>1.2621736517501843</c:v>
                </c:pt>
                <c:pt idx="18">
                  <c:v>1.6620181155136309</c:v>
                </c:pt>
                <c:pt idx="19">
                  <c:v>1.0333225023312895</c:v>
                </c:pt>
                <c:pt idx="20">
                  <c:v>1.5935684307481546</c:v>
                </c:pt>
                <c:pt idx="21">
                  <c:v>0.97070447599705567</c:v>
                </c:pt>
                <c:pt idx="22">
                  <c:v>0.66425807899462863</c:v>
                </c:pt>
                <c:pt idx="23">
                  <c:v>0.50017992222501151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C7E-D947-BF9E-75393FB22553}"/>
            </c:ext>
          </c:extLst>
        </c:ser>
        <c:ser>
          <c:idx val="2"/>
          <c:order val="1"/>
          <c:tx>
            <c:strRef>
              <c:f>Base!$C$4</c:f>
              <c:strCache>
                <c:ptCount val="1"/>
                <c:pt idx="0">
                  <c:v>D2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Base!$C$5:$C$28</c:f>
              <c:numCache>
                <c:formatCode>General</c:formatCode>
                <c:ptCount val="24"/>
                <c:pt idx="0">
                  <c:v>0.27082059473146919</c:v>
                </c:pt>
                <c:pt idx="1">
                  <c:v>0.29976601828113902</c:v>
                </c:pt>
                <c:pt idx="2">
                  <c:v>0.32853444868815534</c:v>
                </c:pt>
                <c:pt idx="3">
                  <c:v>0.27170597824911386</c:v>
                </c:pt>
                <c:pt idx="4">
                  <c:v>0.31639379794610922</c:v>
                </c:pt>
                <c:pt idx="5">
                  <c:v>0.89236447225444127</c:v>
                </c:pt>
                <c:pt idx="6">
                  <c:v>1.125715622660179</c:v>
                </c:pt>
                <c:pt idx="7">
                  <c:v>0.72437117827101982</c:v>
                </c:pt>
                <c:pt idx="8">
                  <c:v>0.65668185286980063</c:v>
                </c:pt>
                <c:pt idx="9">
                  <c:v>0.36515114825042694</c:v>
                </c:pt>
                <c:pt idx="10">
                  <c:v>0.37595553555616301</c:v>
                </c:pt>
                <c:pt idx="11">
                  <c:v>0.6133776082822735</c:v>
                </c:pt>
                <c:pt idx="12">
                  <c:v>0.55916250286993552</c:v>
                </c:pt>
                <c:pt idx="13">
                  <c:v>0.73097044766451635</c:v>
                </c:pt>
                <c:pt idx="14">
                  <c:v>0.61891479542505334</c:v>
                </c:pt>
                <c:pt idx="15">
                  <c:v>0.50105328176129837</c:v>
                </c:pt>
                <c:pt idx="16">
                  <c:v>0.97556839827080011</c:v>
                </c:pt>
                <c:pt idx="17">
                  <c:v>0.88342050968024555</c:v>
                </c:pt>
                <c:pt idx="18">
                  <c:v>1.3881970709172202</c:v>
                </c:pt>
                <c:pt idx="19">
                  <c:v>1.5404912259621812</c:v>
                </c:pt>
                <c:pt idx="20">
                  <c:v>1.8349575085275887</c:v>
                </c:pt>
                <c:pt idx="21">
                  <c:v>1.3838780636586432</c:v>
                </c:pt>
                <c:pt idx="22">
                  <c:v>0.98062429502756432</c:v>
                </c:pt>
                <c:pt idx="23">
                  <c:v>0.44685132296783409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7E-D947-BF9E-75393FB22553}"/>
            </c:ext>
          </c:extLst>
        </c:ser>
        <c:ser>
          <c:idx val="3"/>
          <c:order val="2"/>
          <c:tx>
            <c:strRef>
              <c:f>Base!$D$4</c:f>
              <c:strCache>
                <c:ptCount val="1"/>
                <c:pt idx="0">
                  <c:v>D3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Base!$D$5:$D$28</c:f>
              <c:numCache>
                <c:formatCode>General</c:formatCode>
                <c:ptCount val="24"/>
                <c:pt idx="0">
                  <c:v>0.2470201149218208</c:v>
                </c:pt>
                <c:pt idx="1">
                  <c:v>0.25237966009415042</c:v>
                </c:pt>
                <c:pt idx="2">
                  <c:v>0.2880521663162468</c:v>
                </c:pt>
                <c:pt idx="3">
                  <c:v>0.18668360762406569</c:v>
                </c:pt>
                <c:pt idx="4">
                  <c:v>0.29945975031754246</c:v>
                </c:pt>
                <c:pt idx="5">
                  <c:v>0.66484041825087192</c:v>
                </c:pt>
                <c:pt idx="6">
                  <c:v>0.87848502427064368</c:v>
                </c:pt>
                <c:pt idx="7">
                  <c:v>1.0146380471028267</c:v>
                </c:pt>
                <c:pt idx="8">
                  <c:v>0.49469607309133273</c:v>
                </c:pt>
                <c:pt idx="9">
                  <c:v>0.59330800848638499</c:v>
                </c:pt>
                <c:pt idx="10">
                  <c:v>0.63387406609703056</c:v>
                </c:pt>
                <c:pt idx="11">
                  <c:v>0.64160313551312631</c:v>
                </c:pt>
                <c:pt idx="12">
                  <c:v>0.56841269390178029</c:v>
                </c:pt>
                <c:pt idx="13">
                  <c:v>0.71898243277242224</c:v>
                </c:pt>
                <c:pt idx="14">
                  <c:v>0.51691240012005479</c:v>
                </c:pt>
                <c:pt idx="15">
                  <c:v>0.53036972508753644</c:v>
                </c:pt>
                <c:pt idx="16">
                  <c:v>0.6645267087239245</c:v>
                </c:pt>
                <c:pt idx="17">
                  <c:v>0.78885707020475659</c:v>
                </c:pt>
                <c:pt idx="18">
                  <c:v>1.3583081869217737</c:v>
                </c:pt>
                <c:pt idx="19">
                  <c:v>1.2231119683364122</c:v>
                </c:pt>
                <c:pt idx="20">
                  <c:v>1.3873050203709254</c:v>
                </c:pt>
                <c:pt idx="21">
                  <c:v>1.2817318668593725</c:v>
                </c:pt>
                <c:pt idx="22">
                  <c:v>0.71272831946684301</c:v>
                </c:pt>
                <c:pt idx="23">
                  <c:v>0.47859922700856611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C7E-D947-BF9E-75393FB22553}"/>
            </c:ext>
          </c:extLst>
        </c:ser>
        <c:ser>
          <c:idx val="4"/>
          <c:order val="3"/>
          <c:tx>
            <c:strRef>
              <c:f>Base!$E$4</c:f>
              <c:strCache>
                <c:ptCount val="1"/>
                <c:pt idx="0">
                  <c:v>D4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Base!$E$5:$E$28</c:f>
              <c:numCache>
                <c:formatCode>General</c:formatCode>
                <c:ptCount val="24"/>
                <c:pt idx="0">
                  <c:v>0.36105227567302101</c:v>
                </c:pt>
                <c:pt idx="1">
                  <c:v>0.26139555393021585</c:v>
                </c:pt>
                <c:pt idx="2">
                  <c:v>0.23089281920506871</c:v>
                </c:pt>
                <c:pt idx="3">
                  <c:v>0.32768792084696763</c:v>
                </c:pt>
                <c:pt idx="4">
                  <c:v>0.25984229546328991</c:v>
                </c:pt>
                <c:pt idx="5">
                  <c:v>0.6998745159031754</c:v>
                </c:pt>
                <c:pt idx="6">
                  <c:v>1.0622999587086721</c:v>
                </c:pt>
                <c:pt idx="7">
                  <c:v>0.91301994699015898</c:v>
                </c:pt>
                <c:pt idx="8">
                  <c:v>0.41934198935212597</c:v>
                </c:pt>
                <c:pt idx="9">
                  <c:v>0.49624273728777363</c:v>
                </c:pt>
                <c:pt idx="10">
                  <c:v>0.64834729454673334</c:v>
                </c:pt>
                <c:pt idx="11">
                  <c:v>0.63003328349718901</c:v>
                </c:pt>
                <c:pt idx="12">
                  <c:v>0.49525531681801865</c:v>
                </c:pt>
                <c:pt idx="13">
                  <c:v>0.66500445875970371</c:v>
                </c:pt>
                <c:pt idx="14">
                  <c:v>0.5192891584478202</c:v>
                </c:pt>
                <c:pt idx="15">
                  <c:v>0.51759058403866531</c:v>
                </c:pt>
                <c:pt idx="16">
                  <c:v>0.70607403824316806</c:v>
                </c:pt>
                <c:pt idx="17">
                  <c:v>0.82234962786505073</c:v>
                </c:pt>
                <c:pt idx="18">
                  <c:v>1.4918371142508675</c:v>
                </c:pt>
                <c:pt idx="19">
                  <c:v>1.1789935761468855</c:v>
                </c:pt>
                <c:pt idx="20">
                  <c:v>1.8654135966474867</c:v>
                </c:pt>
                <c:pt idx="21">
                  <c:v>1.1676123578189577</c:v>
                </c:pt>
                <c:pt idx="22">
                  <c:v>0.85995384554151411</c:v>
                </c:pt>
                <c:pt idx="23">
                  <c:v>0.30825556556798966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C7E-D947-BF9E-75393FB22553}"/>
            </c:ext>
          </c:extLst>
        </c:ser>
        <c:ser>
          <c:idx val="5"/>
          <c:order val="4"/>
          <c:tx>
            <c:strRef>
              <c:f>Base!$F$4</c:f>
              <c:strCache>
                <c:ptCount val="1"/>
                <c:pt idx="0">
                  <c:v>D5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Base!$F$5:$F$28</c:f>
              <c:numCache>
                <c:formatCode>General</c:formatCode>
                <c:ptCount val="24"/>
                <c:pt idx="0">
                  <c:v>0.35750554175377752</c:v>
                </c:pt>
                <c:pt idx="1">
                  <c:v>0.24028760957873851</c:v>
                </c:pt>
                <c:pt idx="2">
                  <c:v>0.2979819792610035</c:v>
                </c:pt>
                <c:pt idx="3">
                  <c:v>0.31314239793961368</c:v>
                </c:pt>
                <c:pt idx="4">
                  <c:v>0.23474364134258155</c:v>
                </c:pt>
                <c:pt idx="5">
                  <c:v>0.54146015850577833</c:v>
                </c:pt>
                <c:pt idx="6">
                  <c:v>1.2212621013314646</c:v>
                </c:pt>
                <c:pt idx="7">
                  <c:v>1.0074323923815041</c:v>
                </c:pt>
                <c:pt idx="8">
                  <c:v>0.42914919997892548</c:v>
                </c:pt>
                <c:pt idx="9">
                  <c:v>0.41272474866643644</c:v>
                </c:pt>
                <c:pt idx="10">
                  <c:v>0.4180792280350617</c:v>
                </c:pt>
                <c:pt idx="11">
                  <c:v>0.61769206745874872</c:v>
                </c:pt>
                <c:pt idx="12">
                  <c:v>0.42074693012989911</c:v>
                </c:pt>
                <c:pt idx="13">
                  <c:v>0.72661505518873748</c:v>
                </c:pt>
                <c:pt idx="14">
                  <c:v>0.66384082174394987</c:v>
                </c:pt>
                <c:pt idx="15">
                  <c:v>0.56303979588289443</c:v>
                </c:pt>
                <c:pt idx="16">
                  <c:v>0.88870558894324003</c:v>
                </c:pt>
                <c:pt idx="17">
                  <c:v>1.1289182864681975</c:v>
                </c:pt>
                <c:pt idx="18">
                  <c:v>1.4719488218073482</c:v>
                </c:pt>
                <c:pt idx="19">
                  <c:v>1.620675641538196</c:v>
                </c:pt>
                <c:pt idx="20">
                  <c:v>1.4738280613918631</c:v>
                </c:pt>
                <c:pt idx="21">
                  <c:v>1.0842240921849671</c:v>
                </c:pt>
                <c:pt idx="22">
                  <c:v>0.58782532480721905</c:v>
                </c:pt>
                <c:pt idx="23">
                  <c:v>0.3071346270119969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C7E-D947-BF9E-75393FB22553}"/>
            </c:ext>
          </c:extLst>
        </c:ser>
        <c:ser>
          <c:idx val="6"/>
          <c:order val="5"/>
          <c:tx>
            <c:strRef>
              <c:f>Base!$G$4</c:f>
              <c:strCache>
                <c:ptCount val="1"/>
                <c:pt idx="0">
                  <c:v>D6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Base!$G$5:$G$28</c:f>
              <c:numCache>
                <c:formatCode>General</c:formatCode>
                <c:ptCount val="24"/>
                <c:pt idx="0">
                  <c:v>0.23786297484568913</c:v>
                </c:pt>
                <c:pt idx="1">
                  <c:v>0.19952355384522225</c:v>
                </c:pt>
                <c:pt idx="2">
                  <c:v>0.30783214269430775</c:v>
                </c:pt>
                <c:pt idx="3">
                  <c:v>0.17003832071607683</c:v>
                </c:pt>
                <c:pt idx="4">
                  <c:v>0.27596265451248331</c:v>
                </c:pt>
                <c:pt idx="5">
                  <c:v>0.59366388035542428</c:v>
                </c:pt>
                <c:pt idx="6">
                  <c:v>1.179814774528678</c:v>
                </c:pt>
                <c:pt idx="7">
                  <c:v>1.0779208495503807</c:v>
                </c:pt>
                <c:pt idx="8">
                  <c:v>0.7492815460640877</c:v>
                </c:pt>
                <c:pt idx="9">
                  <c:v>0.46166053240161198</c:v>
                </c:pt>
                <c:pt idx="10">
                  <c:v>0.47590253275950123</c:v>
                </c:pt>
                <c:pt idx="11">
                  <c:v>0.52318097635688776</c:v>
                </c:pt>
                <c:pt idx="12">
                  <c:v>0.71166361993063831</c:v>
                </c:pt>
                <c:pt idx="13">
                  <c:v>0.4033820315328171</c:v>
                </c:pt>
                <c:pt idx="14">
                  <c:v>0.42306496961542017</c:v>
                </c:pt>
                <c:pt idx="15">
                  <c:v>0.51238999382431327</c:v>
                </c:pt>
                <c:pt idx="16">
                  <c:v>0.66088482384593628</c:v>
                </c:pt>
                <c:pt idx="17">
                  <c:v>1.0772212307380649</c:v>
                </c:pt>
                <c:pt idx="18">
                  <c:v>0.91525694979500427</c:v>
                </c:pt>
                <c:pt idx="19">
                  <c:v>1.0628329269378236</c:v>
                </c:pt>
                <c:pt idx="20">
                  <c:v>1.0195101889301654</c:v>
                </c:pt>
                <c:pt idx="21">
                  <c:v>0.76738034923146003</c:v>
                </c:pt>
                <c:pt idx="22">
                  <c:v>0.82427518013119516</c:v>
                </c:pt>
                <c:pt idx="23">
                  <c:v>0.55603168551466775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C7E-D947-BF9E-75393FB22553}"/>
            </c:ext>
          </c:extLst>
        </c:ser>
        <c:ser>
          <c:idx val="7"/>
          <c:order val="6"/>
          <c:tx>
            <c:strRef>
              <c:f>Base!$H$4</c:f>
              <c:strCache>
                <c:ptCount val="1"/>
                <c:pt idx="0">
                  <c:v>D7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Base!$H$5:$H$28</c:f>
              <c:numCache>
                <c:formatCode>General</c:formatCode>
                <c:ptCount val="24"/>
                <c:pt idx="0">
                  <c:v>0.35933912360130182</c:v>
                </c:pt>
                <c:pt idx="1">
                  <c:v>0.26272026672801135</c:v>
                </c:pt>
                <c:pt idx="2">
                  <c:v>0.18296169308584484</c:v>
                </c:pt>
                <c:pt idx="3">
                  <c:v>0.22354118637494927</c:v>
                </c:pt>
                <c:pt idx="4">
                  <c:v>0.29631734709737573</c:v>
                </c:pt>
                <c:pt idx="5">
                  <c:v>0.45736604572009121</c:v>
                </c:pt>
                <c:pt idx="6">
                  <c:v>0.78552118259707049</c:v>
                </c:pt>
                <c:pt idx="7">
                  <c:v>0.99182771517247703</c:v>
                </c:pt>
                <c:pt idx="8">
                  <c:v>0.640243657924215</c:v>
                </c:pt>
                <c:pt idx="9">
                  <c:v>0.44992364823126219</c:v>
                </c:pt>
                <c:pt idx="10">
                  <c:v>0.38037910407884362</c:v>
                </c:pt>
                <c:pt idx="11">
                  <c:v>0.73884088702609307</c:v>
                </c:pt>
                <c:pt idx="12">
                  <c:v>0.42442774145887907</c:v>
                </c:pt>
                <c:pt idx="13">
                  <c:v>0.50777499803181492</c:v>
                </c:pt>
                <c:pt idx="14">
                  <c:v>0.4682858685398858</c:v>
                </c:pt>
                <c:pt idx="15">
                  <c:v>0.72811281656644211</c:v>
                </c:pt>
                <c:pt idx="16">
                  <c:v>0.86358555870310783</c:v>
                </c:pt>
                <c:pt idx="17">
                  <c:v>0.95234008029087514</c:v>
                </c:pt>
                <c:pt idx="18">
                  <c:v>1.0597498760980573</c:v>
                </c:pt>
                <c:pt idx="19">
                  <c:v>1.8438448649135188</c:v>
                </c:pt>
                <c:pt idx="20">
                  <c:v>1.5588323437418754</c:v>
                </c:pt>
                <c:pt idx="21">
                  <c:v>0.97279429700859321</c:v>
                </c:pt>
                <c:pt idx="22">
                  <c:v>0.84095712808454381</c:v>
                </c:pt>
                <c:pt idx="23">
                  <c:v>0.42602061252412343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C7E-D947-BF9E-75393FB22553}"/>
            </c:ext>
          </c:extLst>
        </c:ser>
        <c:ser>
          <c:idx val="8"/>
          <c:order val="7"/>
          <c:tx>
            <c:strRef>
              <c:f>Base!$I$4</c:f>
              <c:strCache>
                <c:ptCount val="1"/>
                <c:pt idx="0">
                  <c:v>D8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Base!$I$5:$I$28</c:f>
              <c:numCache>
                <c:formatCode>General</c:formatCode>
                <c:ptCount val="24"/>
                <c:pt idx="0">
                  <c:v>0.29285816494526351</c:v>
                </c:pt>
                <c:pt idx="1">
                  <c:v>0.18864087661175016</c:v>
                </c:pt>
                <c:pt idx="2">
                  <c:v>0.1702536653512437</c:v>
                </c:pt>
                <c:pt idx="3">
                  <c:v>0.20512126347126969</c:v>
                </c:pt>
                <c:pt idx="4">
                  <c:v>0.21537041792336567</c:v>
                </c:pt>
                <c:pt idx="5">
                  <c:v>0.79863802108368542</c:v>
                </c:pt>
                <c:pt idx="6">
                  <c:v>0.94304533838304294</c:v>
                </c:pt>
                <c:pt idx="7">
                  <c:v>1.064672411541653</c:v>
                </c:pt>
                <c:pt idx="8">
                  <c:v>0.62450121259502656</c:v>
                </c:pt>
                <c:pt idx="9">
                  <c:v>0.52896120406179625</c:v>
                </c:pt>
                <c:pt idx="10">
                  <c:v>0.55439512792125722</c:v>
                </c:pt>
                <c:pt idx="11">
                  <c:v>0.72566763906861143</c:v>
                </c:pt>
                <c:pt idx="12">
                  <c:v>0.54844647257793377</c:v>
                </c:pt>
                <c:pt idx="13">
                  <c:v>0.50949073683568347</c:v>
                </c:pt>
                <c:pt idx="14">
                  <c:v>0.64866995706841524</c:v>
                </c:pt>
                <c:pt idx="15">
                  <c:v>0.75929720040373305</c:v>
                </c:pt>
                <c:pt idx="16">
                  <c:v>0.8033817437317774</c:v>
                </c:pt>
                <c:pt idx="17">
                  <c:v>0.7093309400252038</c:v>
                </c:pt>
                <c:pt idx="18">
                  <c:v>0.98187022643373456</c:v>
                </c:pt>
                <c:pt idx="19">
                  <c:v>1.849937424148222</c:v>
                </c:pt>
                <c:pt idx="20">
                  <c:v>1.7642332691091569</c:v>
                </c:pt>
                <c:pt idx="21">
                  <c:v>0.86539392641111679</c:v>
                </c:pt>
                <c:pt idx="22">
                  <c:v>0.8462263604922744</c:v>
                </c:pt>
                <c:pt idx="23">
                  <c:v>0.32689882521756103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C7E-D947-BF9E-75393FB22553}"/>
            </c:ext>
          </c:extLst>
        </c:ser>
        <c:ser>
          <c:idx val="9"/>
          <c:order val="8"/>
          <c:tx>
            <c:strRef>
              <c:f>Base!$J$4</c:f>
              <c:strCache>
                <c:ptCount val="1"/>
                <c:pt idx="0">
                  <c:v>D9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Base!$J$5:$J$28</c:f>
              <c:numCache>
                <c:formatCode>General</c:formatCode>
                <c:ptCount val="24"/>
                <c:pt idx="0">
                  <c:v>0.36137078870194211</c:v>
                </c:pt>
                <c:pt idx="1">
                  <c:v>0.3271367443853142</c:v>
                </c:pt>
                <c:pt idx="2">
                  <c:v>0.22092915839354038</c:v>
                </c:pt>
                <c:pt idx="3">
                  <c:v>0.24764732926718827</c:v>
                </c:pt>
                <c:pt idx="4">
                  <c:v>0.30347102625950262</c:v>
                </c:pt>
                <c:pt idx="5">
                  <c:v>0.56378852783155342</c:v>
                </c:pt>
                <c:pt idx="6">
                  <c:v>1.054583914196588</c:v>
                </c:pt>
                <c:pt idx="7">
                  <c:v>0.69936788684583784</c:v>
                </c:pt>
                <c:pt idx="8">
                  <c:v>0.63436508393459412</c:v>
                </c:pt>
                <c:pt idx="9">
                  <c:v>0.53343965341780963</c:v>
                </c:pt>
                <c:pt idx="10">
                  <c:v>0.64452850570528708</c:v>
                </c:pt>
                <c:pt idx="11">
                  <c:v>0.72880672842417316</c:v>
                </c:pt>
                <c:pt idx="12">
                  <c:v>0.73345509294712541</c:v>
                </c:pt>
                <c:pt idx="13">
                  <c:v>0.69809821132959549</c:v>
                </c:pt>
                <c:pt idx="14">
                  <c:v>0.36029679075968424</c:v>
                </c:pt>
                <c:pt idx="15">
                  <c:v>0.57296724810106081</c:v>
                </c:pt>
                <c:pt idx="16">
                  <c:v>0.58284716386274149</c:v>
                </c:pt>
                <c:pt idx="17">
                  <c:v>1.3116373395916396</c:v>
                </c:pt>
                <c:pt idx="18">
                  <c:v>0.99984669481464583</c:v>
                </c:pt>
                <c:pt idx="19">
                  <c:v>1.2595585843552608</c:v>
                </c:pt>
                <c:pt idx="20">
                  <c:v>1.2110545650899027</c:v>
                </c:pt>
                <c:pt idx="21">
                  <c:v>1.1500326803201175</c:v>
                </c:pt>
                <c:pt idx="22">
                  <c:v>0.58784313183302062</c:v>
                </c:pt>
                <c:pt idx="23">
                  <c:v>0.50689320646703462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C7E-D947-BF9E-75393FB22553}"/>
            </c:ext>
          </c:extLst>
        </c:ser>
        <c:ser>
          <c:idx val="10"/>
          <c:order val="9"/>
          <c:tx>
            <c:strRef>
              <c:f>Base!$K$4</c:f>
              <c:strCache>
                <c:ptCount val="1"/>
                <c:pt idx="0">
                  <c:v>D10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Base!$K$5:$K$28</c:f>
              <c:numCache>
                <c:formatCode>General</c:formatCode>
                <c:ptCount val="24"/>
                <c:pt idx="0">
                  <c:v>0.29729661993107925</c:v>
                </c:pt>
                <c:pt idx="1">
                  <c:v>0.26215232098308611</c:v>
                </c:pt>
                <c:pt idx="2">
                  <c:v>0.29186276906481357</c:v>
                </c:pt>
                <c:pt idx="3">
                  <c:v>0.21476298841627045</c:v>
                </c:pt>
                <c:pt idx="4">
                  <c:v>0.29943023673720159</c:v>
                </c:pt>
                <c:pt idx="5">
                  <c:v>0.63830844332098713</c:v>
                </c:pt>
                <c:pt idx="6">
                  <c:v>0.66081733053921254</c:v>
                </c:pt>
                <c:pt idx="7">
                  <c:v>0.59361037493590307</c:v>
                </c:pt>
                <c:pt idx="8">
                  <c:v>0.65501128520300567</c:v>
                </c:pt>
                <c:pt idx="9">
                  <c:v>0.38050800462289214</c:v>
                </c:pt>
                <c:pt idx="10">
                  <c:v>0.67895744969204075</c:v>
                </c:pt>
                <c:pt idx="11">
                  <c:v>0.59344658959901986</c:v>
                </c:pt>
                <c:pt idx="12">
                  <c:v>0.44799152917324642</c:v>
                </c:pt>
                <c:pt idx="13">
                  <c:v>0.40336594474545429</c:v>
                </c:pt>
                <c:pt idx="14">
                  <c:v>0.56778880598012127</c:v>
                </c:pt>
                <c:pt idx="15">
                  <c:v>0.72760997156887719</c:v>
                </c:pt>
                <c:pt idx="16">
                  <c:v>0.54118344680098041</c:v>
                </c:pt>
                <c:pt idx="17">
                  <c:v>1.1708794798017379</c:v>
                </c:pt>
                <c:pt idx="18">
                  <c:v>1.4057833329606093</c:v>
                </c:pt>
                <c:pt idx="19">
                  <c:v>1.5378696362323616</c:v>
                </c:pt>
                <c:pt idx="20">
                  <c:v>1.3008786303370536</c:v>
                </c:pt>
                <c:pt idx="21">
                  <c:v>1.2053343651218233</c:v>
                </c:pt>
                <c:pt idx="22">
                  <c:v>0.89075863009453471</c:v>
                </c:pt>
                <c:pt idx="23">
                  <c:v>0.53198557909226352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A-0C7E-D947-BF9E-75393FB22553}"/>
            </c:ext>
          </c:extLst>
        </c:ser>
        <c:ser>
          <c:idx val="11"/>
          <c:order val="10"/>
          <c:tx>
            <c:strRef>
              <c:f>Base!$L$4</c:f>
              <c:strCache>
                <c:ptCount val="1"/>
                <c:pt idx="0">
                  <c:v>D11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Base!$L$5:$L$28</c:f>
              <c:numCache>
                <c:formatCode>General</c:formatCode>
                <c:ptCount val="24"/>
                <c:pt idx="0">
                  <c:v>0.21026929328471297</c:v>
                </c:pt>
                <c:pt idx="1">
                  <c:v>0.34914397444965961</c:v>
                </c:pt>
                <c:pt idx="2">
                  <c:v>0.20385533266338782</c:v>
                </c:pt>
                <c:pt idx="3">
                  <c:v>0.19055823299854452</c:v>
                </c:pt>
                <c:pt idx="4">
                  <c:v>0.38970003550060522</c:v>
                </c:pt>
                <c:pt idx="5">
                  <c:v>0.54689239113863697</c:v>
                </c:pt>
                <c:pt idx="6">
                  <c:v>0.96048787846746586</c:v>
                </c:pt>
                <c:pt idx="7">
                  <c:v>0.98149692872761218</c:v>
                </c:pt>
                <c:pt idx="8">
                  <c:v>0.42826502047854231</c:v>
                </c:pt>
                <c:pt idx="9">
                  <c:v>0.5351971330921641</c:v>
                </c:pt>
                <c:pt idx="10">
                  <c:v>0.44567982559276931</c:v>
                </c:pt>
                <c:pt idx="11">
                  <c:v>0.53018003238967537</c:v>
                </c:pt>
                <c:pt idx="12">
                  <c:v>0.63234009857227835</c:v>
                </c:pt>
                <c:pt idx="13">
                  <c:v>0.43915854623904532</c:v>
                </c:pt>
                <c:pt idx="14">
                  <c:v>0.68944390129546684</c:v>
                </c:pt>
                <c:pt idx="15">
                  <c:v>0.49884871711299517</c:v>
                </c:pt>
                <c:pt idx="16">
                  <c:v>0.69812219714771073</c:v>
                </c:pt>
                <c:pt idx="17">
                  <c:v>0.84538738991775231</c:v>
                </c:pt>
                <c:pt idx="18">
                  <c:v>1.7301578107095099</c:v>
                </c:pt>
                <c:pt idx="19">
                  <c:v>1.6509172050859684</c:v>
                </c:pt>
                <c:pt idx="20">
                  <c:v>1.6282567860534014</c:v>
                </c:pt>
                <c:pt idx="21">
                  <c:v>1.2518850699740356</c:v>
                </c:pt>
                <c:pt idx="22">
                  <c:v>0.96128103060983661</c:v>
                </c:pt>
                <c:pt idx="23">
                  <c:v>0.35028976969131947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0C7E-D947-BF9E-75393FB22553}"/>
            </c:ext>
          </c:extLst>
        </c:ser>
        <c:ser>
          <c:idx val="12"/>
          <c:order val="11"/>
          <c:tx>
            <c:strRef>
              <c:f>Base!$M$4</c:f>
              <c:strCache>
                <c:ptCount val="1"/>
                <c:pt idx="0">
                  <c:v>D12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Base!$M$5:$M$28</c:f>
              <c:numCache>
                <c:formatCode>General</c:formatCode>
                <c:ptCount val="24"/>
                <c:pt idx="0">
                  <c:v>0.32431006004196478</c:v>
                </c:pt>
                <c:pt idx="1">
                  <c:v>0.32496225655733169</c:v>
                </c:pt>
                <c:pt idx="2">
                  <c:v>0.22917794210178322</c:v>
                </c:pt>
                <c:pt idx="3">
                  <c:v>0.32629352100758213</c:v>
                </c:pt>
                <c:pt idx="4">
                  <c:v>0.28197598566326615</c:v>
                </c:pt>
                <c:pt idx="5">
                  <c:v>0.81221333617403757</c:v>
                </c:pt>
                <c:pt idx="6">
                  <c:v>0.74247032122954337</c:v>
                </c:pt>
                <c:pt idx="7">
                  <c:v>0.89150416453154202</c:v>
                </c:pt>
                <c:pt idx="8">
                  <c:v>0.42844073189693077</c:v>
                </c:pt>
                <c:pt idx="9">
                  <c:v>0.46751915692457957</c:v>
                </c:pt>
                <c:pt idx="10">
                  <c:v>0.35527905468209037</c:v>
                </c:pt>
                <c:pt idx="11">
                  <c:v>0.43642743929511585</c:v>
                </c:pt>
                <c:pt idx="12">
                  <c:v>0.40140167341653099</c:v>
                </c:pt>
                <c:pt idx="13">
                  <c:v>0.57636095753291294</c:v>
                </c:pt>
                <c:pt idx="14">
                  <c:v>0.44591185715991616</c:v>
                </c:pt>
                <c:pt idx="15">
                  <c:v>0.6568492064374023</c:v>
                </c:pt>
                <c:pt idx="16">
                  <c:v>0.84862707068454357</c:v>
                </c:pt>
                <c:pt idx="17">
                  <c:v>0.75329899909574638</c:v>
                </c:pt>
                <c:pt idx="18">
                  <c:v>1.4101000498346301</c:v>
                </c:pt>
                <c:pt idx="19">
                  <c:v>1.5422354784653258</c:v>
                </c:pt>
                <c:pt idx="20">
                  <c:v>1.7513307835465524</c:v>
                </c:pt>
                <c:pt idx="21">
                  <c:v>0.82177981191619032</c:v>
                </c:pt>
                <c:pt idx="22">
                  <c:v>0.61615108384727124</c:v>
                </c:pt>
                <c:pt idx="23">
                  <c:v>0.34267698660095419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C-0C7E-D947-BF9E-75393FB22553}"/>
            </c:ext>
          </c:extLst>
        </c:ser>
        <c:ser>
          <c:idx val="13"/>
          <c:order val="12"/>
          <c:tx>
            <c:strRef>
              <c:f>Base!$N$4</c:f>
              <c:strCache>
                <c:ptCount val="1"/>
                <c:pt idx="0">
                  <c:v>D13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Base!$N$5:$N$28</c:f>
              <c:numCache>
                <c:formatCode>General</c:formatCode>
                <c:ptCount val="24"/>
                <c:pt idx="0">
                  <c:v>0.26634411152306797</c:v>
                </c:pt>
                <c:pt idx="1">
                  <c:v>0.19171371814208127</c:v>
                </c:pt>
                <c:pt idx="2">
                  <c:v>0.2689163174762248</c:v>
                </c:pt>
                <c:pt idx="3">
                  <c:v>0.27917715330080373</c:v>
                </c:pt>
                <c:pt idx="4">
                  <c:v>0.22275951684654638</c:v>
                </c:pt>
                <c:pt idx="5">
                  <c:v>0.58995831661827969</c:v>
                </c:pt>
                <c:pt idx="6">
                  <c:v>0.89196899610126734</c:v>
                </c:pt>
                <c:pt idx="7">
                  <c:v>0.92808235536461425</c:v>
                </c:pt>
                <c:pt idx="8">
                  <c:v>0.42178946463045047</c:v>
                </c:pt>
                <c:pt idx="9">
                  <c:v>0.38037980825419176</c:v>
                </c:pt>
                <c:pt idx="10">
                  <c:v>0.59637163220986267</c:v>
                </c:pt>
                <c:pt idx="11">
                  <c:v>0.70047218615462425</c:v>
                </c:pt>
                <c:pt idx="12">
                  <c:v>0.73806718964747864</c:v>
                </c:pt>
                <c:pt idx="13">
                  <c:v>0.56896426507867892</c:v>
                </c:pt>
                <c:pt idx="14">
                  <c:v>0.6299158846176568</c:v>
                </c:pt>
                <c:pt idx="15">
                  <c:v>0.53199244403309365</c:v>
                </c:pt>
                <c:pt idx="16">
                  <c:v>0.95502789815995515</c:v>
                </c:pt>
                <c:pt idx="17">
                  <c:v>1.3316251442227436</c:v>
                </c:pt>
                <c:pt idx="18">
                  <c:v>1.1150267534120086</c:v>
                </c:pt>
                <c:pt idx="19">
                  <c:v>1.3733699396797241</c:v>
                </c:pt>
                <c:pt idx="20">
                  <c:v>1.8453343685180363</c:v>
                </c:pt>
                <c:pt idx="21">
                  <c:v>1.2571265267077703</c:v>
                </c:pt>
                <c:pt idx="22">
                  <c:v>0.64522584337267341</c:v>
                </c:pt>
                <c:pt idx="23">
                  <c:v>0.55828423847784758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D-0C7E-D947-BF9E-75393FB22553}"/>
            </c:ext>
          </c:extLst>
        </c:ser>
        <c:ser>
          <c:idx val="14"/>
          <c:order val="13"/>
          <c:tx>
            <c:strRef>
              <c:f>Base!$O$4</c:f>
              <c:strCache>
                <c:ptCount val="1"/>
                <c:pt idx="0">
                  <c:v>D14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Base!$O$5:$O$28</c:f>
              <c:numCache>
                <c:formatCode>General</c:formatCode>
                <c:ptCount val="24"/>
                <c:pt idx="0">
                  <c:v>0.32691009174234115</c:v>
                </c:pt>
                <c:pt idx="1">
                  <c:v>0.34636806726638386</c:v>
                </c:pt>
                <c:pt idx="2">
                  <c:v>0.33362290077722317</c:v>
                </c:pt>
                <c:pt idx="3">
                  <c:v>0.33149928704227483</c:v>
                </c:pt>
                <c:pt idx="4">
                  <c:v>0.25645547888581216</c:v>
                </c:pt>
                <c:pt idx="5">
                  <c:v>0.84948773431340552</c:v>
                </c:pt>
                <c:pt idx="6">
                  <c:v>0.80802036974064018</c:v>
                </c:pt>
                <c:pt idx="7">
                  <c:v>0.93191543274812727</c:v>
                </c:pt>
                <c:pt idx="8">
                  <c:v>0.68867598709836608</c:v>
                </c:pt>
                <c:pt idx="9">
                  <c:v>0.41095217687848717</c:v>
                </c:pt>
                <c:pt idx="10">
                  <c:v>0.61243762605361773</c:v>
                </c:pt>
                <c:pt idx="11">
                  <c:v>0.67467074638895952</c:v>
                </c:pt>
                <c:pt idx="12">
                  <c:v>0.45427450849834711</c:v>
                </c:pt>
                <c:pt idx="13">
                  <c:v>0.40604053425026154</c:v>
                </c:pt>
                <c:pt idx="14">
                  <c:v>0.48173427042743022</c:v>
                </c:pt>
                <c:pt idx="15">
                  <c:v>0.6200195961737075</c:v>
                </c:pt>
                <c:pt idx="16">
                  <c:v>0.88228345463164426</c:v>
                </c:pt>
                <c:pt idx="17">
                  <c:v>0.73570655648435057</c:v>
                </c:pt>
                <c:pt idx="18">
                  <c:v>1.5676236191158839</c:v>
                </c:pt>
                <c:pt idx="19">
                  <c:v>1.6486615553776993</c:v>
                </c:pt>
                <c:pt idx="20">
                  <c:v>1.0066111215301967</c:v>
                </c:pt>
                <c:pt idx="21">
                  <c:v>1.2875204367149244</c:v>
                </c:pt>
                <c:pt idx="22">
                  <c:v>0.97703061226176291</c:v>
                </c:pt>
                <c:pt idx="23">
                  <c:v>0.46617074985353579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E-0C7E-D947-BF9E-75393FB22553}"/>
            </c:ext>
          </c:extLst>
        </c:ser>
        <c:ser>
          <c:idx val="15"/>
          <c:order val="14"/>
          <c:tx>
            <c:strRef>
              <c:f>Base!$P$4</c:f>
              <c:strCache>
                <c:ptCount val="1"/>
                <c:pt idx="0">
                  <c:v>D15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Base!$P$5:$P$28</c:f>
              <c:numCache>
                <c:formatCode>General</c:formatCode>
                <c:ptCount val="24"/>
                <c:pt idx="0">
                  <c:v>0.25258700977091009</c:v>
                </c:pt>
                <c:pt idx="1">
                  <c:v>0.22776053267384352</c:v>
                </c:pt>
                <c:pt idx="2">
                  <c:v>0.24981942080817002</c:v>
                </c:pt>
                <c:pt idx="3">
                  <c:v>0.3124761294070143</c:v>
                </c:pt>
                <c:pt idx="4">
                  <c:v>0.29129398559794517</c:v>
                </c:pt>
                <c:pt idx="5">
                  <c:v>0.59667258791397082</c:v>
                </c:pt>
                <c:pt idx="6">
                  <c:v>0.72654875081976766</c:v>
                </c:pt>
                <c:pt idx="7">
                  <c:v>1.0425763198819171</c:v>
                </c:pt>
                <c:pt idx="8">
                  <c:v>0.71289924469912036</c:v>
                </c:pt>
                <c:pt idx="9">
                  <c:v>0.54602556885677267</c:v>
                </c:pt>
                <c:pt idx="10">
                  <c:v>0.40973648642556221</c:v>
                </c:pt>
                <c:pt idx="11">
                  <c:v>0.61436860498225609</c:v>
                </c:pt>
                <c:pt idx="12">
                  <c:v>0.49073216143099008</c:v>
                </c:pt>
                <c:pt idx="13">
                  <c:v>0.49090214027616313</c:v>
                </c:pt>
                <c:pt idx="14">
                  <c:v>0.51568742376954557</c:v>
                </c:pt>
                <c:pt idx="15">
                  <c:v>0.42533343163691578</c:v>
                </c:pt>
                <c:pt idx="16">
                  <c:v>0.55695978162917126</c:v>
                </c:pt>
                <c:pt idx="17">
                  <c:v>1.3037314906518402</c:v>
                </c:pt>
                <c:pt idx="18">
                  <c:v>1.0871549734151844</c:v>
                </c:pt>
                <c:pt idx="19">
                  <c:v>1.1101353218996963</c:v>
                </c:pt>
                <c:pt idx="20">
                  <c:v>0.98001108848111695</c:v>
                </c:pt>
                <c:pt idx="21">
                  <c:v>1.0857449625125872</c:v>
                </c:pt>
                <c:pt idx="22">
                  <c:v>0.67407013133110749</c:v>
                </c:pt>
                <c:pt idx="23">
                  <c:v>0.48422402330387126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F-0C7E-D947-BF9E-75393FB22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6625151"/>
        <c:axId val="724115871"/>
      </c:lineChart>
      <c:catAx>
        <c:axId val="7366251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115871"/>
        <c:crosses val="autoZero"/>
        <c:auto val="1"/>
        <c:lblAlgn val="ctr"/>
        <c:lblOffset val="100"/>
        <c:noMultiLvlLbl val="0"/>
      </c:catAx>
      <c:valAx>
        <c:axId val="72411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662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Ahorro</a:t>
            </a:r>
            <a:r>
              <a:rPr lang="en-US" baseline="0"/>
              <a:t> en %</a:t>
            </a:r>
            <a:endParaRPr lang="en-US"/>
          </a:p>
        </c:rich>
      </c:tx>
      <c:layout>
        <c:manualLayout>
          <c:xMode val="edge"/>
          <c:yMode val="edge"/>
          <c:x val="0.39282633420822405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Base!$B$40:$P$40</c:f>
              <c:numCache>
                <c:formatCode>0%</c:formatCode>
                <c:ptCount val="15"/>
                <c:pt idx="0">
                  <c:v>0.46106148580054518</c:v>
                </c:pt>
                <c:pt idx="1">
                  <c:v>0.43722145243631561</c:v>
                </c:pt>
                <c:pt idx="2">
                  <c:v>0.48141086003645167</c:v>
                </c:pt>
                <c:pt idx="3">
                  <c:v>0.46766485875022529</c:v>
                </c:pt>
                <c:pt idx="4">
                  <c:v>0.46433349053383527</c:v>
                </c:pt>
                <c:pt idx="5">
                  <c:v>0.52066626299937591</c:v>
                </c:pt>
                <c:pt idx="6">
                  <c:v>0.48168000587717824</c:v>
                </c:pt>
                <c:pt idx="7">
                  <c:v>0.46717737433433709</c:v>
                </c:pt>
                <c:pt idx="8">
                  <c:v>0.48527892591269839</c:v>
                </c:pt>
                <c:pt idx="9">
                  <c:v>0.48517090688086439</c:v>
                </c:pt>
                <c:pt idx="10">
                  <c:v>0.46111522259919796</c:v>
                </c:pt>
                <c:pt idx="11">
                  <c:v>0.50085317846397392</c:v>
                </c:pt>
                <c:pt idx="12">
                  <c:v>0.45737892155841753</c:v>
                </c:pt>
                <c:pt idx="13">
                  <c:v>0.46227771445864352</c:v>
                </c:pt>
                <c:pt idx="14">
                  <c:v>0.52063496692265143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3-2443-B241-A1605FBBB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07444175"/>
        <c:axId val="691206271"/>
      </c:barChart>
      <c:catAx>
        <c:axId val="90744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1206271"/>
        <c:crosses val="autoZero"/>
        <c:auto val="1"/>
        <c:lblAlgn val="ctr"/>
        <c:lblOffset val="100"/>
        <c:noMultiLvlLbl val="0"/>
      </c:catAx>
      <c:valAx>
        <c:axId val="69120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44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9072</xdr:colOff>
      <xdr:row>7</xdr:row>
      <xdr:rowOff>136071</xdr:rowOff>
    </xdr:from>
    <xdr:to>
      <xdr:col>24</xdr:col>
      <xdr:colOff>544286</xdr:colOff>
      <xdr:row>17</xdr:row>
      <xdr:rowOff>47172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B9165D-4569-C14F-8345-E95E2A174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107044</xdr:colOff>
      <xdr:row>17</xdr:row>
      <xdr:rowOff>107336</xdr:rowOff>
    </xdr:from>
    <xdr:to>
      <xdr:col>24</xdr:col>
      <xdr:colOff>615042</xdr:colOff>
      <xdr:row>27</xdr:row>
      <xdr:rowOff>199865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3E461-14AF-C848-8F9C-5B4763FDA7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341203</xdr:colOff>
      <xdr:row>7</xdr:row>
      <xdr:rowOff>186112</xdr:rowOff>
    </xdr:from>
    <xdr:to>
      <xdr:col>29</xdr:col>
      <xdr:colOff>586132</xdr:colOff>
      <xdr:row>17</xdr:row>
      <xdr:rowOff>177039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886122-923C-6B4C-B07B-ECCA63631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22</xdr:col>
      <xdr:colOff>257969</xdr:colOff>
      <xdr:row>14</xdr:row>
      <xdr:rowOff>59531</xdr:rowOff>
    </xdr:from>
    <xdr:ext cx="867673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D4D33EE-3E76-1F46-981B-39EFCD91E6F4}"/>
            </a:ext>
          </a:extLst>
        </xdr:cNvPr>
        <xdr:cNvSpPr txBox="1"/>
      </xdr:nvSpPr>
      <xdr:spPr>
        <a:xfrm>
          <a:off x="17783969" y="2904331"/>
          <a:ext cx="8676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Exportacion</a:t>
          </a:r>
        </a:p>
      </xdr:txBody>
    </xdr:sp>
    <xdr:clientData/>
  </xdr:oneCellAnchor>
  <xdr:oneCellAnchor>
    <xdr:from>
      <xdr:col>23</xdr:col>
      <xdr:colOff>360760</xdr:colOff>
      <xdr:row>9</xdr:row>
      <xdr:rowOff>122634</xdr:rowOff>
    </xdr:from>
    <xdr:ext cx="88588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5D35260-9550-3E4B-B744-7BB85EC6F3CB}"/>
            </a:ext>
          </a:extLst>
        </xdr:cNvPr>
        <xdr:cNvSpPr txBox="1"/>
      </xdr:nvSpPr>
      <xdr:spPr>
        <a:xfrm>
          <a:off x="18712260" y="1951434"/>
          <a:ext cx="8858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Importacion</a:t>
          </a:r>
        </a:p>
      </xdr:txBody>
    </xdr:sp>
    <xdr:clientData/>
  </xdr:oneCellAnchor>
  <xdr:twoCellAnchor>
    <xdr:from>
      <xdr:col>19</xdr:col>
      <xdr:colOff>298450</xdr:colOff>
      <xdr:row>49</xdr:row>
      <xdr:rowOff>165100</xdr:rowOff>
    </xdr:from>
    <xdr:to>
      <xdr:col>24</xdr:col>
      <xdr:colOff>742950</xdr:colOff>
      <xdr:row>63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2B8C6B5-BE2E-9203-DC24-C17470A34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805708</xdr:colOff>
      <xdr:row>7</xdr:row>
      <xdr:rowOff>78344</xdr:rowOff>
    </xdr:from>
    <xdr:to>
      <xdr:col>25</xdr:col>
      <xdr:colOff>509649</xdr:colOff>
      <xdr:row>16</xdr:row>
      <xdr:rowOff>197263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E7C40F-6A4B-D84E-AA12-944CD672B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145144</xdr:colOff>
      <xdr:row>20</xdr:row>
      <xdr:rowOff>81936</xdr:rowOff>
    </xdr:from>
    <xdr:to>
      <xdr:col>26</xdr:col>
      <xdr:colOff>653142</xdr:colOff>
      <xdr:row>30</xdr:row>
      <xdr:rowOff>174465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559AA6-781A-DF45-BD72-D2E4288513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341203</xdr:colOff>
      <xdr:row>4</xdr:row>
      <xdr:rowOff>46183</xdr:rowOff>
    </xdr:from>
    <xdr:to>
      <xdr:col>29</xdr:col>
      <xdr:colOff>586132</xdr:colOff>
      <xdr:row>17</xdr:row>
      <xdr:rowOff>115455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7CDD6E-BB9C-FB40-9C48-0B0B35236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22</xdr:col>
      <xdr:colOff>742878</xdr:colOff>
      <xdr:row>13</xdr:row>
      <xdr:rowOff>36441</xdr:rowOff>
    </xdr:from>
    <xdr:ext cx="867673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154FD7A-B4E4-ED47-BA91-196C47910F27}"/>
            </a:ext>
          </a:extLst>
        </xdr:cNvPr>
        <xdr:cNvSpPr txBox="1"/>
      </xdr:nvSpPr>
      <xdr:spPr>
        <a:xfrm>
          <a:off x="18661423" y="2738077"/>
          <a:ext cx="86767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Exportacion</a:t>
          </a:r>
        </a:p>
      </xdr:txBody>
    </xdr:sp>
    <xdr:clientData/>
  </xdr:oneCellAnchor>
  <xdr:oneCellAnchor>
    <xdr:from>
      <xdr:col>24</xdr:col>
      <xdr:colOff>268395</xdr:colOff>
      <xdr:row>10</xdr:row>
      <xdr:rowOff>76453</xdr:rowOff>
    </xdr:from>
    <xdr:ext cx="88588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3AB7076-E06C-ED4C-B004-47F438D808BF}"/>
            </a:ext>
          </a:extLst>
        </xdr:cNvPr>
        <xdr:cNvSpPr txBox="1"/>
      </xdr:nvSpPr>
      <xdr:spPr>
        <a:xfrm>
          <a:off x="19849486" y="2154635"/>
          <a:ext cx="8858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Importacion</a:t>
          </a:r>
        </a:p>
      </xdr:txBody>
    </xdr:sp>
    <xdr:clientData/>
  </xdr:oneCellAnchor>
  <xdr:twoCellAnchor>
    <xdr:from>
      <xdr:col>3</xdr:col>
      <xdr:colOff>164522</xdr:colOff>
      <xdr:row>6</xdr:row>
      <xdr:rowOff>95250</xdr:rowOff>
    </xdr:from>
    <xdr:to>
      <xdr:col>14</xdr:col>
      <xdr:colOff>428625</xdr:colOff>
      <xdr:row>25</xdr:row>
      <xdr:rowOff>54840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054449E-77EF-8C7B-B173-CC027106B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158750</xdr:colOff>
      <xdr:row>31</xdr:row>
      <xdr:rowOff>41275</xdr:rowOff>
    </xdr:from>
    <xdr:to>
      <xdr:col>23</xdr:col>
      <xdr:colOff>603250</xdr:colOff>
      <xdr:row>44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67890EA-ABA1-415F-BD76-B7DB51727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3C2D-DE0D-F948-88F5-A86667A11B35}">
  <dimension ref="A1:AG69"/>
  <sheetViews>
    <sheetView showGridLines="0" zoomScaleNormal="100" workbookViewId="0">
      <selection activeCell="S24" sqref="S24"/>
    </sheetView>
  </sheetViews>
  <sheetFormatPr baseColWidth="10" defaultRowHeight="16" x14ac:dyDescent="0.2"/>
  <cols>
    <col min="1" max="1" width="7.6640625" customWidth="1"/>
    <col min="2" max="16" width="7.1640625" customWidth="1"/>
    <col min="17" max="17" width="10.83203125" customWidth="1"/>
  </cols>
  <sheetData>
    <row r="1" spans="1:33" x14ac:dyDescent="0.2">
      <c r="A1" t="s">
        <v>50</v>
      </c>
    </row>
    <row r="4" spans="1:33" x14ac:dyDescent="0.2">
      <c r="A4" s="9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36</v>
      </c>
      <c r="M4" s="26" t="s">
        <v>44</v>
      </c>
      <c r="N4" s="26" t="s">
        <v>45</v>
      </c>
      <c r="O4" s="26" t="s">
        <v>46</v>
      </c>
      <c r="P4" s="26" t="s">
        <v>47</v>
      </c>
      <c r="Q4" s="2"/>
      <c r="R4" s="2" t="s">
        <v>49</v>
      </c>
      <c r="S4" t="s">
        <v>12</v>
      </c>
      <c r="T4" t="s">
        <v>39</v>
      </c>
      <c r="AF4" t="s">
        <v>37</v>
      </c>
      <c r="AG4" t="s">
        <v>38</v>
      </c>
    </row>
    <row r="5" spans="1:33" x14ac:dyDescent="0.2">
      <c r="A5">
        <v>1</v>
      </c>
      <c r="B5" s="27">
        <v>0.23421006228271449</v>
      </c>
      <c r="C5" s="27">
        <v>0.27082059473146919</v>
      </c>
      <c r="D5" s="27">
        <v>0.2470201149218208</v>
      </c>
      <c r="E5" s="27">
        <v>0.36105227567302101</v>
      </c>
      <c r="F5" s="27">
        <v>0.35750554175377752</v>
      </c>
      <c r="G5" s="27">
        <v>0.23786297484568913</v>
      </c>
      <c r="H5" s="27">
        <v>0.35933912360130182</v>
      </c>
      <c r="I5" s="27">
        <v>0.29285816494526351</v>
      </c>
      <c r="J5" s="27">
        <v>0.36137078870194211</v>
      </c>
      <c r="K5" s="27">
        <v>0.29729661993107925</v>
      </c>
      <c r="L5" s="27">
        <v>0.21026929328471297</v>
      </c>
      <c r="M5" s="27">
        <v>0.32431006004196478</v>
      </c>
      <c r="N5" s="27">
        <v>0.26634411152306797</v>
      </c>
      <c r="O5" s="27">
        <v>0.32691009174234115</v>
      </c>
      <c r="P5" s="27">
        <v>0.25258700977091009</v>
      </c>
      <c r="Q5" s="2"/>
      <c r="R5" s="2">
        <f>-$AG5*$F$33</f>
        <v>0</v>
      </c>
      <c r="S5">
        <f>SUM(B5:R5)</f>
        <v>4.3997568277510757</v>
      </c>
      <c r="T5">
        <f>IF(S5&lt;0,S5,0)</f>
        <v>0</v>
      </c>
      <c r="AF5" s="12">
        <v>0.2</v>
      </c>
      <c r="AG5">
        <v>0</v>
      </c>
    </row>
    <row r="6" spans="1:33" x14ac:dyDescent="0.2">
      <c r="A6">
        <v>2</v>
      </c>
      <c r="B6" s="27">
        <v>0.24966323416196623</v>
      </c>
      <c r="C6" s="27">
        <v>0.29976601828113902</v>
      </c>
      <c r="D6" s="27">
        <v>0.25237966009415042</v>
      </c>
      <c r="E6" s="27">
        <v>0.26139555393021585</v>
      </c>
      <c r="F6" s="27">
        <v>0.24028760957873851</v>
      </c>
      <c r="G6" s="27">
        <v>0.19952355384522225</v>
      </c>
      <c r="H6" s="27">
        <v>0.26272026672801135</v>
      </c>
      <c r="I6" s="27">
        <v>0.18864087661175016</v>
      </c>
      <c r="J6" s="27">
        <v>0.3271367443853142</v>
      </c>
      <c r="K6" s="27">
        <v>0.26215232098308611</v>
      </c>
      <c r="L6" s="27">
        <v>0.34914397444965961</v>
      </c>
      <c r="M6" s="27">
        <v>0.32496225655733169</v>
      </c>
      <c r="N6" s="27">
        <v>0.19171371814208127</v>
      </c>
      <c r="O6" s="27">
        <v>0.34636806726638386</v>
      </c>
      <c r="P6" s="27">
        <v>0.22776053267384352</v>
      </c>
      <c r="Q6" s="2"/>
      <c r="R6" s="2">
        <f t="shared" ref="R6:R28" si="0">-$AG6*$F$33</f>
        <v>0</v>
      </c>
      <c r="S6">
        <f t="shared" ref="S6:S28" si="1">SUM(B6:R6)</f>
        <v>3.983614387688895</v>
      </c>
      <c r="T6">
        <f t="shared" ref="T6:T28" si="2">IF(S6&lt;0,S6,0)</f>
        <v>0</v>
      </c>
      <c r="AF6" s="12">
        <v>0.18</v>
      </c>
      <c r="AG6">
        <v>0</v>
      </c>
    </row>
    <row r="7" spans="1:33" x14ac:dyDescent="0.2">
      <c r="A7">
        <v>3</v>
      </c>
      <c r="B7" s="27">
        <v>0.31201919816534907</v>
      </c>
      <c r="C7" s="27">
        <v>0.32853444868815534</v>
      </c>
      <c r="D7" s="27">
        <v>0.2880521663162468</v>
      </c>
      <c r="E7" s="27">
        <v>0.23089281920506871</v>
      </c>
      <c r="F7" s="27">
        <v>0.2979819792610035</v>
      </c>
      <c r="G7" s="27">
        <v>0.30783214269430775</v>
      </c>
      <c r="H7" s="27">
        <v>0.18296169308584484</v>
      </c>
      <c r="I7" s="27">
        <v>0.1702536653512437</v>
      </c>
      <c r="J7" s="27">
        <v>0.22092915839354038</v>
      </c>
      <c r="K7" s="27">
        <v>0.29186276906481357</v>
      </c>
      <c r="L7" s="27">
        <v>0.20385533266338782</v>
      </c>
      <c r="M7" s="27">
        <v>0.22917794210178322</v>
      </c>
      <c r="N7" s="27">
        <v>0.2689163174762248</v>
      </c>
      <c r="O7" s="27">
        <v>0.33362290077722317</v>
      </c>
      <c r="P7" s="27">
        <v>0.24981942080817002</v>
      </c>
      <c r="Q7" s="2"/>
      <c r="R7" s="2">
        <f t="shared" si="0"/>
        <v>0</v>
      </c>
      <c r="S7">
        <f t="shared" si="1"/>
        <v>3.9167119540523632</v>
      </c>
      <c r="T7">
        <f t="shared" si="2"/>
        <v>0</v>
      </c>
      <c r="AF7" s="12">
        <v>0.17</v>
      </c>
      <c r="AG7">
        <v>0</v>
      </c>
    </row>
    <row r="8" spans="1:33" x14ac:dyDescent="0.2">
      <c r="A8">
        <v>4</v>
      </c>
      <c r="B8" s="27">
        <v>0.18794906836411129</v>
      </c>
      <c r="C8" s="27">
        <v>0.27170597824911386</v>
      </c>
      <c r="D8" s="27">
        <v>0.18668360762406569</v>
      </c>
      <c r="E8" s="27">
        <v>0.32768792084696763</v>
      </c>
      <c r="F8" s="27">
        <v>0.31314239793961368</v>
      </c>
      <c r="G8" s="27">
        <v>0.17003832071607683</v>
      </c>
      <c r="H8" s="27">
        <v>0.22354118637494927</v>
      </c>
      <c r="I8" s="27">
        <v>0.20512126347126969</v>
      </c>
      <c r="J8" s="27">
        <v>0.24764732926718827</v>
      </c>
      <c r="K8" s="27">
        <v>0.21476298841627045</v>
      </c>
      <c r="L8" s="27">
        <v>0.19055823299854452</v>
      </c>
      <c r="M8" s="27">
        <v>0.32629352100758213</v>
      </c>
      <c r="N8" s="27">
        <v>0.27917715330080373</v>
      </c>
      <c r="O8" s="27">
        <v>0.33149928704227483</v>
      </c>
      <c r="P8" s="27">
        <v>0.3124761294070143</v>
      </c>
      <c r="Q8" s="2"/>
      <c r="R8" s="2">
        <f t="shared" si="0"/>
        <v>0</v>
      </c>
      <c r="S8">
        <f t="shared" si="1"/>
        <v>3.7882843850258467</v>
      </c>
      <c r="T8">
        <f t="shared" si="2"/>
        <v>0</v>
      </c>
      <c r="AF8" s="12">
        <v>0.17</v>
      </c>
      <c r="AG8">
        <v>0</v>
      </c>
    </row>
    <row r="9" spans="1:33" x14ac:dyDescent="0.2">
      <c r="A9">
        <v>5</v>
      </c>
      <c r="B9" s="27">
        <v>0.35097969154103248</v>
      </c>
      <c r="C9" s="27">
        <v>0.31639379794610922</v>
      </c>
      <c r="D9" s="27">
        <v>0.29945975031754246</v>
      </c>
      <c r="E9" s="27">
        <v>0.25984229546328991</v>
      </c>
      <c r="F9" s="27">
        <v>0.23474364134258155</v>
      </c>
      <c r="G9" s="27">
        <v>0.27596265451248331</v>
      </c>
      <c r="H9" s="27">
        <v>0.29631734709737573</v>
      </c>
      <c r="I9" s="27">
        <v>0.21537041792336567</v>
      </c>
      <c r="J9" s="27">
        <v>0.30347102625950262</v>
      </c>
      <c r="K9" s="27">
        <v>0.29943023673720159</v>
      </c>
      <c r="L9" s="27">
        <v>0.38970003550060522</v>
      </c>
      <c r="M9" s="27">
        <v>0.28197598566326615</v>
      </c>
      <c r="N9" s="27">
        <v>0.22275951684654638</v>
      </c>
      <c r="O9" s="27">
        <v>0.25645547888581216</v>
      </c>
      <c r="P9" s="27">
        <v>0.29129398559794517</v>
      </c>
      <c r="Q9" s="2"/>
      <c r="R9" s="2">
        <f t="shared" si="0"/>
        <v>0</v>
      </c>
      <c r="S9">
        <f t="shared" si="1"/>
        <v>4.2941558616346596</v>
      </c>
      <c r="T9">
        <f t="shared" si="2"/>
        <v>0</v>
      </c>
      <c r="AF9" s="12">
        <v>0.2</v>
      </c>
      <c r="AG9">
        <v>0</v>
      </c>
    </row>
    <row r="10" spans="1:33" x14ac:dyDescent="0.2">
      <c r="A10">
        <v>6</v>
      </c>
      <c r="B10" s="27">
        <v>0.68852055420489022</v>
      </c>
      <c r="C10" s="27">
        <v>0.89236447225444127</v>
      </c>
      <c r="D10" s="27">
        <v>0.66484041825087192</v>
      </c>
      <c r="E10" s="27">
        <v>0.6998745159031754</v>
      </c>
      <c r="F10" s="27">
        <v>0.54146015850577833</v>
      </c>
      <c r="G10" s="27">
        <v>0.59366388035542428</v>
      </c>
      <c r="H10" s="27">
        <v>0.45736604572009121</v>
      </c>
      <c r="I10" s="27">
        <v>0.79863802108368542</v>
      </c>
      <c r="J10" s="27">
        <v>0.56378852783155342</v>
      </c>
      <c r="K10" s="27">
        <v>0.63830844332098713</v>
      </c>
      <c r="L10" s="27">
        <v>0.54689239113863697</v>
      </c>
      <c r="M10" s="27">
        <v>0.81221333617403757</v>
      </c>
      <c r="N10" s="27">
        <v>0.58995831661827969</v>
      </c>
      <c r="O10" s="27">
        <v>0.84948773431340552</v>
      </c>
      <c r="P10" s="27">
        <v>0.59667258791397082</v>
      </c>
      <c r="Q10" s="2"/>
      <c r="R10" s="2">
        <f t="shared" si="0"/>
        <v>0</v>
      </c>
      <c r="S10">
        <f t="shared" si="1"/>
        <v>9.9340494035892313</v>
      </c>
      <c r="T10">
        <f t="shared" si="2"/>
        <v>0</v>
      </c>
      <c r="AF10" s="12">
        <v>0.45</v>
      </c>
      <c r="AG10">
        <v>0</v>
      </c>
    </row>
    <row r="11" spans="1:33" x14ac:dyDescent="0.2">
      <c r="A11">
        <v>7</v>
      </c>
      <c r="B11" s="27">
        <v>0.98943651517776932</v>
      </c>
      <c r="C11" s="27">
        <v>1.125715622660179</v>
      </c>
      <c r="D11" s="27">
        <v>0.87848502427064368</v>
      </c>
      <c r="E11" s="27">
        <v>1.0622999587086721</v>
      </c>
      <c r="F11" s="27">
        <v>1.2212621013314646</v>
      </c>
      <c r="G11" s="27">
        <v>1.179814774528678</v>
      </c>
      <c r="H11" s="27">
        <v>0.78552118259707049</v>
      </c>
      <c r="I11" s="27">
        <v>0.94304533838304294</v>
      </c>
      <c r="J11" s="27">
        <v>1.054583914196588</v>
      </c>
      <c r="K11" s="27">
        <v>0.66081733053921254</v>
      </c>
      <c r="L11" s="27">
        <v>0.96048787846746586</v>
      </c>
      <c r="M11" s="27">
        <v>0.74247032122954337</v>
      </c>
      <c r="N11" s="27">
        <v>0.89196899610126734</v>
      </c>
      <c r="O11" s="27">
        <v>0.80802036974064018</v>
      </c>
      <c r="P11" s="27">
        <v>0.72654875081976766</v>
      </c>
      <c r="Q11" s="2"/>
      <c r="R11" s="2">
        <f t="shared" si="0"/>
        <v>-2.3746375000000004</v>
      </c>
      <c r="S11">
        <f t="shared" si="1"/>
        <v>11.655840578752004</v>
      </c>
      <c r="T11">
        <f t="shared" si="2"/>
        <v>0</v>
      </c>
      <c r="AF11" s="12">
        <v>0.65</v>
      </c>
      <c r="AG11">
        <v>4.7492750000000007E-2</v>
      </c>
    </row>
    <row r="12" spans="1:33" x14ac:dyDescent="0.2">
      <c r="A12">
        <v>8</v>
      </c>
      <c r="B12" s="27">
        <v>0.92714311797687421</v>
      </c>
      <c r="C12" s="27">
        <v>0.72437117827101982</v>
      </c>
      <c r="D12" s="27">
        <v>1.0146380471028267</v>
      </c>
      <c r="E12" s="27">
        <v>0.91301994699015898</v>
      </c>
      <c r="F12" s="27">
        <v>1.0074323923815041</v>
      </c>
      <c r="G12" s="27">
        <v>1.0779208495503807</v>
      </c>
      <c r="H12" s="27">
        <v>0.99182771517247703</v>
      </c>
      <c r="I12" s="27">
        <v>1.064672411541653</v>
      </c>
      <c r="J12" s="27">
        <v>0.69936788684583784</v>
      </c>
      <c r="K12" s="27">
        <v>0.59361037493590307</v>
      </c>
      <c r="L12" s="27">
        <v>0.98149692872761218</v>
      </c>
      <c r="M12" s="27">
        <v>0.89150416453154202</v>
      </c>
      <c r="N12" s="27">
        <v>0.92808235536461425</v>
      </c>
      <c r="O12" s="27">
        <v>0.93191543274812727</v>
      </c>
      <c r="P12" s="27">
        <v>1.0425763198819171</v>
      </c>
      <c r="Q12" s="2"/>
      <c r="R12" s="2">
        <f t="shared" si="0"/>
        <v>-10.001716666666667</v>
      </c>
      <c r="S12">
        <f t="shared" si="1"/>
        <v>3.7878624553557803</v>
      </c>
      <c r="T12">
        <f t="shared" si="2"/>
        <v>0</v>
      </c>
      <c r="AF12" s="12">
        <v>0.55000000000000004</v>
      </c>
      <c r="AG12">
        <v>0.20003433333333334</v>
      </c>
    </row>
    <row r="13" spans="1:33" x14ac:dyDescent="0.2">
      <c r="A13">
        <v>9</v>
      </c>
      <c r="B13" s="27">
        <v>0.53883459390004163</v>
      </c>
      <c r="C13" s="27">
        <v>0.65668185286980063</v>
      </c>
      <c r="D13" s="27">
        <v>0.49469607309133273</v>
      </c>
      <c r="E13" s="27">
        <v>0.41934198935212597</v>
      </c>
      <c r="F13" s="27">
        <v>0.42914919997892548</v>
      </c>
      <c r="G13" s="27">
        <v>0.7492815460640877</v>
      </c>
      <c r="H13" s="27">
        <v>0.640243657924215</v>
      </c>
      <c r="I13" s="27">
        <v>0.62450121259502656</v>
      </c>
      <c r="J13" s="27">
        <v>0.63436508393459412</v>
      </c>
      <c r="K13" s="27">
        <v>0.65501128520300567</v>
      </c>
      <c r="L13" s="27">
        <v>0.42826502047854231</v>
      </c>
      <c r="M13" s="27">
        <v>0.42844073189693077</v>
      </c>
      <c r="N13" s="27">
        <v>0.42178946463045047</v>
      </c>
      <c r="O13" s="27">
        <v>0.68867598709836608</v>
      </c>
      <c r="P13" s="27">
        <v>0.71289924469912036</v>
      </c>
      <c r="Q13" s="2"/>
      <c r="R13" s="2">
        <f t="shared" si="0"/>
        <v>-18.597145833333332</v>
      </c>
      <c r="S13">
        <f t="shared" si="1"/>
        <v>-10.074968889616768</v>
      </c>
      <c r="T13">
        <f t="shared" si="2"/>
        <v>-10.074968889616768</v>
      </c>
      <c r="AF13" s="12">
        <v>0.4</v>
      </c>
      <c r="AG13">
        <v>0.37194291666666662</v>
      </c>
    </row>
    <row r="14" spans="1:33" x14ac:dyDescent="0.2">
      <c r="A14">
        <v>10</v>
      </c>
      <c r="B14" s="27">
        <v>0.37084108595509274</v>
      </c>
      <c r="C14" s="27">
        <v>0.36515114825042694</v>
      </c>
      <c r="D14" s="27">
        <v>0.59330800848638499</v>
      </c>
      <c r="E14" s="27">
        <v>0.49624273728777363</v>
      </c>
      <c r="F14" s="27">
        <v>0.41272474866643644</v>
      </c>
      <c r="G14" s="27">
        <v>0.46166053240161198</v>
      </c>
      <c r="H14" s="27">
        <v>0.44992364823126219</v>
      </c>
      <c r="I14" s="27">
        <v>0.52896120406179625</v>
      </c>
      <c r="J14" s="27">
        <v>0.53343965341780963</v>
      </c>
      <c r="K14" s="27">
        <v>0.38050800462289214</v>
      </c>
      <c r="L14" s="27">
        <v>0.5351971330921641</v>
      </c>
      <c r="M14" s="27">
        <v>0.46751915692457957</v>
      </c>
      <c r="N14" s="27">
        <v>0.38037980825419176</v>
      </c>
      <c r="O14" s="27">
        <v>0.41095217687848717</v>
      </c>
      <c r="P14" s="27">
        <v>0.54602556885677267</v>
      </c>
      <c r="Q14" s="2"/>
      <c r="R14" s="2">
        <f t="shared" si="0"/>
        <v>-25.609312499999998</v>
      </c>
      <c r="S14">
        <f t="shared" si="1"/>
        <v>-18.676477884612318</v>
      </c>
      <c r="T14">
        <f t="shared" si="2"/>
        <v>-18.676477884612318</v>
      </c>
      <c r="AF14" s="12">
        <v>0.35</v>
      </c>
      <c r="AG14">
        <v>0.51218624999999995</v>
      </c>
    </row>
    <row r="15" spans="1:33" x14ac:dyDescent="0.2">
      <c r="A15">
        <v>11</v>
      </c>
      <c r="B15" s="27">
        <v>0.46330867427505035</v>
      </c>
      <c r="C15" s="27">
        <v>0.37595553555616301</v>
      </c>
      <c r="D15" s="27">
        <v>0.63387406609703056</v>
      </c>
      <c r="E15" s="27">
        <v>0.64834729454673334</v>
      </c>
      <c r="F15" s="27">
        <v>0.4180792280350617</v>
      </c>
      <c r="G15" s="27">
        <v>0.47590253275950123</v>
      </c>
      <c r="H15" s="27">
        <v>0.38037910407884362</v>
      </c>
      <c r="I15" s="27">
        <v>0.55439512792125722</v>
      </c>
      <c r="J15" s="27">
        <v>0.64452850570528708</v>
      </c>
      <c r="K15" s="27">
        <v>0.67895744969204075</v>
      </c>
      <c r="L15" s="27">
        <v>0.44567982559276931</v>
      </c>
      <c r="M15" s="27">
        <v>0.35527905468209037</v>
      </c>
      <c r="N15" s="27">
        <v>0.59637163220986267</v>
      </c>
      <c r="O15" s="27">
        <v>0.61243762605361773</v>
      </c>
      <c r="P15" s="27">
        <v>0.40973648642556221</v>
      </c>
      <c r="Q15" s="2"/>
      <c r="R15" s="2">
        <f t="shared" si="0"/>
        <v>-30.256341666666664</v>
      </c>
      <c r="S15">
        <f t="shared" si="1"/>
        <v>-22.563109523035791</v>
      </c>
      <c r="T15">
        <f t="shared" si="2"/>
        <v>-22.563109523035791</v>
      </c>
      <c r="AF15" s="12">
        <v>0.35</v>
      </c>
      <c r="AG15">
        <v>0.60512683333333328</v>
      </c>
    </row>
    <row r="16" spans="1:33" x14ac:dyDescent="0.2">
      <c r="A16">
        <v>12</v>
      </c>
      <c r="B16" s="27">
        <v>0.70425881540338231</v>
      </c>
      <c r="C16" s="27">
        <v>0.6133776082822735</v>
      </c>
      <c r="D16" s="27">
        <v>0.64160313551312631</v>
      </c>
      <c r="E16" s="27">
        <v>0.63003328349718901</v>
      </c>
      <c r="F16" s="27">
        <v>0.61769206745874872</v>
      </c>
      <c r="G16" s="27">
        <v>0.52318097635688776</v>
      </c>
      <c r="H16" s="27">
        <v>0.73884088702609307</v>
      </c>
      <c r="I16" s="27">
        <v>0.72566763906861143</v>
      </c>
      <c r="J16" s="27">
        <v>0.72880672842417316</v>
      </c>
      <c r="K16" s="27">
        <v>0.59344658959901986</v>
      </c>
      <c r="L16" s="27">
        <v>0.53018003238967537</v>
      </c>
      <c r="M16" s="27">
        <v>0.43642743929511585</v>
      </c>
      <c r="N16" s="27">
        <v>0.70047218615462425</v>
      </c>
      <c r="O16" s="27">
        <v>0.67467074638895952</v>
      </c>
      <c r="P16" s="27">
        <v>0.61436860498225609</v>
      </c>
      <c r="Q16" s="2"/>
      <c r="R16" s="2">
        <f t="shared" si="0"/>
        <v>-32.265491666666669</v>
      </c>
      <c r="S16">
        <f t="shared" si="1"/>
        <v>-22.792464926826533</v>
      </c>
      <c r="T16">
        <f t="shared" si="2"/>
        <v>-22.792464926826533</v>
      </c>
      <c r="AF16" s="12">
        <v>0.38</v>
      </c>
      <c r="AG16">
        <v>0.64530983333333336</v>
      </c>
    </row>
    <row r="17" spans="1:33" x14ac:dyDescent="0.2">
      <c r="A17">
        <v>13</v>
      </c>
      <c r="B17" s="27">
        <v>0.69422851035616395</v>
      </c>
      <c r="C17" s="27">
        <v>0.55916250286993552</v>
      </c>
      <c r="D17" s="27">
        <v>0.56841269390178029</v>
      </c>
      <c r="E17" s="27">
        <v>0.49525531681801865</v>
      </c>
      <c r="F17" s="27">
        <v>0.42074693012989911</v>
      </c>
      <c r="G17" s="27">
        <v>0.71166361993063831</v>
      </c>
      <c r="H17" s="27">
        <v>0.42442774145887907</v>
      </c>
      <c r="I17" s="27">
        <v>0.54844647257793377</v>
      </c>
      <c r="J17" s="27">
        <v>0.73345509294712541</v>
      </c>
      <c r="K17" s="27">
        <v>0.44799152917324642</v>
      </c>
      <c r="L17" s="27">
        <v>0.63234009857227835</v>
      </c>
      <c r="M17" s="27">
        <v>0.40140167341653099</v>
      </c>
      <c r="N17" s="27">
        <v>0.73806718964747864</v>
      </c>
      <c r="O17" s="27">
        <v>0.45427450849834711</v>
      </c>
      <c r="P17" s="27">
        <v>0.49073216143099008</v>
      </c>
      <c r="Q17" s="2"/>
      <c r="R17" s="2">
        <f t="shared" si="0"/>
        <v>-31.362883333333329</v>
      </c>
      <c r="S17">
        <f t="shared" si="1"/>
        <v>-23.04227729160408</v>
      </c>
      <c r="T17">
        <f t="shared" si="2"/>
        <v>-23.04227729160408</v>
      </c>
      <c r="AF17" s="12">
        <v>0.4</v>
      </c>
      <c r="AG17">
        <v>0.6272576666666666</v>
      </c>
    </row>
    <row r="18" spans="1:33" x14ac:dyDescent="0.2">
      <c r="A18">
        <v>14</v>
      </c>
      <c r="B18" s="27">
        <v>0.74405454127186299</v>
      </c>
      <c r="C18" s="27">
        <v>0.73097044766451635</v>
      </c>
      <c r="D18" s="27">
        <v>0.71898243277242224</v>
      </c>
      <c r="E18" s="27">
        <v>0.66500445875970371</v>
      </c>
      <c r="F18" s="27">
        <v>0.72661505518873748</v>
      </c>
      <c r="G18" s="27">
        <v>0.4033820315328171</v>
      </c>
      <c r="H18" s="27">
        <v>0.50777499803181492</v>
      </c>
      <c r="I18" s="27">
        <v>0.50949073683568347</v>
      </c>
      <c r="J18" s="27">
        <v>0.69809821132959549</v>
      </c>
      <c r="K18" s="27">
        <v>0.40336594474545429</v>
      </c>
      <c r="L18" s="27">
        <v>0.43915854623904532</v>
      </c>
      <c r="M18" s="27">
        <v>0.57636095753291294</v>
      </c>
      <c r="N18" s="27">
        <v>0.56896426507867892</v>
      </c>
      <c r="O18" s="27">
        <v>0.40604053425026154</v>
      </c>
      <c r="P18" s="27">
        <v>0.49090214027616313</v>
      </c>
      <c r="Q18" s="2"/>
      <c r="R18" s="2">
        <f t="shared" si="0"/>
        <v>-28.439995833333338</v>
      </c>
      <c r="S18">
        <f t="shared" si="1"/>
        <v>-19.850830531823668</v>
      </c>
      <c r="T18">
        <f t="shared" si="2"/>
        <v>-19.850830531823668</v>
      </c>
      <c r="AF18" s="12">
        <v>0.38</v>
      </c>
      <c r="AG18">
        <v>0.56879991666666674</v>
      </c>
    </row>
    <row r="19" spans="1:33" x14ac:dyDescent="0.2">
      <c r="A19">
        <v>15</v>
      </c>
      <c r="B19" s="27">
        <v>0.5358418595792418</v>
      </c>
      <c r="C19" s="27">
        <v>0.61891479542505334</v>
      </c>
      <c r="D19" s="27">
        <v>0.51691240012005479</v>
      </c>
      <c r="E19" s="27">
        <v>0.5192891584478202</v>
      </c>
      <c r="F19" s="27">
        <v>0.66384082174394987</v>
      </c>
      <c r="G19" s="27">
        <v>0.42306496961542017</v>
      </c>
      <c r="H19" s="27">
        <v>0.4682858685398858</v>
      </c>
      <c r="I19" s="27">
        <v>0.64866995706841524</v>
      </c>
      <c r="J19" s="27">
        <v>0.36029679075968424</v>
      </c>
      <c r="K19" s="27">
        <v>0.56778880598012127</v>
      </c>
      <c r="L19" s="27">
        <v>0.68944390129546684</v>
      </c>
      <c r="M19" s="27">
        <v>0.44591185715991616</v>
      </c>
      <c r="N19" s="27">
        <v>0.6299158846176568</v>
      </c>
      <c r="O19" s="27">
        <v>0.48173427042743022</v>
      </c>
      <c r="P19" s="27">
        <v>0.51568742376954557</v>
      </c>
      <c r="Q19" s="2"/>
      <c r="R19" s="2">
        <f t="shared" si="0"/>
        <v>-23.660262500000005</v>
      </c>
      <c r="S19">
        <f t="shared" si="1"/>
        <v>-15.574663735450343</v>
      </c>
      <c r="T19">
        <f t="shared" si="2"/>
        <v>-15.574663735450343</v>
      </c>
      <c r="AF19" s="12">
        <v>0.35</v>
      </c>
      <c r="AG19">
        <v>0.47320525000000008</v>
      </c>
    </row>
    <row r="20" spans="1:33" x14ac:dyDescent="0.2">
      <c r="A20">
        <v>16</v>
      </c>
      <c r="B20" s="27">
        <v>0.61149304356394441</v>
      </c>
      <c r="C20" s="27">
        <v>0.50105328176129837</v>
      </c>
      <c r="D20" s="27">
        <v>0.53036972508753644</v>
      </c>
      <c r="E20" s="27">
        <v>0.51759058403866531</v>
      </c>
      <c r="F20" s="27">
        <v>0.56303979588289443</v>
      </c>
      <c r="G20" s="27">
        <v>0.51238999382431327</v>
      </c>
      <c r="H20" s="27">
        <v>0.72811281656644211</v>
      </c>
      <c r="I20" s="27">
        <v>0.75929720040373305</v>
      </c>
      <c r="J20" s="27">
        <v>0.57296724810106081</v>
      </c>
      <c r="K20" s="27">
        <v>0.72760997156887719</v>
      </c>
      <c r="L20" s="27">
        <v>0.49884871711299517</v>
      </c>
      <c r="M20" s="27">
        <v>0.6568492064374023</v>
      </c>
      <c r="N20" s="27">
        <v>0.53199244403309365</v>
      </c>
      <c r="O20" s="27">
        <v>0.6200195961737075</v>
      </c>
      <c r="P20" s="27">
        <v>0.42533343163691578</v>
      </c>
      <c r="Q20" s="2"/>
      <c r="R20" s="2">
        <f t="shared" si="0"/>
        <v>-16.858070833333336</v>
      </c>
      <c r="S20">
        <f t="shared" si="1"/>
        <v>-8.1011037771404553</v>
      </c>
      <c r="T20">
        <f t="shared" si="2"/>
        <v>-8.1011037771404553</v>
      </c>
      <c r="AF20" s="12">
        <v>0.38</v>
      </c>
      <c r="AG20">
        <v>0.33716141666666671</v>
      </c>
    </row>
    <row r="21" spans="1:33" x14ac:dyDescent="0.2">
      <c r="A21">
        <v>17</v>
      </c>
      <c r="B21" s="27">
        <v>0.86080543831311407</v>
      </c>
      <c r="C21" s="27">
        <v>0.97556839827080011</v>
      </c>
      <c r="D21" s="27">
        <v>0.6645267087239245</v>
      </c>
      <c r="E21" s="27">
        <v>0.70607403824316806</v>
      </c>
      <c r="F21" s="27">
        <v>0.88870558894324003</v>
      </c>
      <c r="G21" s="27">
        <v>0.66088482384593628</v>
      </c>
      <c r="H21" s="27">
        <v>0.86358555870310783</v>
      </c>
      <c r="I21" s="27">
        <v>0.8033817437317774</v>
      </c>
      <c r="J21" s="27">
        <v>0.58284716386274149</v>
      </c>
      <c r="K21" s="27">
        <v>0.54118344680098041</v>
      </c>
      <c r="L21" s="27">
        <v>0.69812219714771073</v>
      </c>
      <c r="M21" s="27">
        <v>0.84862707068454357</v>
      </c>
      <c r="N21" s="27">
        <v>0.95502789815995515</v>
      </c>
      <c r="O21" s="27">
        <v>0.88228345463164426</v>
      </c>
      <c r="P21" s="27">
        <v>0.55695978162917126</v>
      </c>
      <c r="Q21" s="2"/>
      <c r="R21" s="2">
        <f t="shared" si="0"/>
        <v>-9.4285041666666665</v>
      </c>
      <c r="S21">
        <f t="shared" si="1"/>
        <v>2.0600791450251457</v>
      </c>
      <c r="T21">
        <f t="shared" si="2"/>
        <v>0</v>
      </c>
      <c r="AF21" s="12">
        <v>0.5</v>
      </c>
      <c r="AG21">
        <v>0.18857008333333333</v>
      </c>
    </row>
    <row r="22" spans="1:33" x14ac:dyDescent="0.2">
      <c r="A22">
        <v>18</v>
      </c>
      <c r="B22" s="27">
        <v>1.2621736517501843</v>
      </c>
      <c r="C22" s="27">
        <v>0.88342050968024555</v>
      </c>
      <c r="D22" s="27">
        <v>0.78885707020475659</v>
      </c>
      <c r="E22" s="27">
        <v>0.82234962786505073</v>
      </c>
      <c r="F22" s="27">
        <v>1.1289182864681975</v>
      </c>
      <c r="G22" s="27">
        <v>1.0772212307380649</v>
      </c>
      <c r="H22" s="27">
        <v>0.95234008029087514</v>
      </c>
      <c r="I22" s="27">
        <v>0.7093309400252038</v>
      </c>
      <c r="J22" s="27">
        <v>1.3116373395916396</v>
      </c>
      <c r="K22" s="27">
        <v>1.1708794798017379</v>
      </c>
      <c r="L22" s="27">
        <v>0.84538738991775231</v>
      </c>
      <c r="M22" s="27">
        <v>0.75329899909574638</v>
      </c>
      <c r="N22" s="27">
        <v>1.3316251442227436</v>
      </c>
      <c r="O22" s="27">
        <v>0.73570655648435057</v>
      </c>
      <c r="P22" s="27">
        <v>1.3037314906518402</v>
      </c>
      <c r="Q22" s="2"/>
      <c r="R22" s="2">
        <f t="shared" si="0"/>
        <v>-2.1756791666666668</v>
      </c>
      <c r="S22">
        <f t="shared" si="1"/>
        <v>12.901198630121719</v>
      </c>
      <c r="T22">
        <f t="shared" si="2"/>
        <v>0</v>
      </c>
      <c r="AF22" s="12">
        <v>0.7</v>
      </c>
      <c r="AG22">
        <v>4.3513583333333335E-2</v>
      </c>
    </row>
    <row r="23" spans="1:33" x14ac:dyDescent="0.2">
      <c r="A23">
        <v>19</v>
      </c>
      <c r="B23" s="27">
        <v>1.6620181155136309</v>
      </c>
      <c r="C23" s="27">
        <v>1.3881970709172202</v>
      </c>
      <c r="D23" s="27">
        <v>1.3583081869217737</v>
      </c>
      <c r="E23" s="27">
        <v>1.4918371142508675</v>
      </c>
      <c r="F23" s="27">
        <v>1.4719488218073482</v>
      </c>
      <c r="G23" s="27">
        <v>0.91525694979500427</v>
      </c>
      <c r="H23" s="27">
        <v>1.0597498760980573</v>
      </c>
      <c r="I23" s="27">
        <v>0.98187022643373456</v>
      </c>
      <c r="J23" s="27">
        <v>0.99984669481464583</v>
      </c>
      <c r="K23" s="27">
        <v>1.4057833329606093</v>
      </c>
      <c r="L23" s="27">
        <v>1.7301578107095099</v>
      </c>
      <c r="M23" s="27">
        <v>1.4101000498346301</v>
      </c>
      <c r="N23" s="27">
        <v>1.1150267534120086</v>
      </c>
      <c r="O23" s="27">
        <v>1.5676236191158839</v>
      </c>
      <c r="P23" s="27">
        <v>1.0871549734151844</v>
      </c>
      <c r="Q23" s="2"/>
      <c r="R23" s="2">
        <f t="shared" si="0"/>
        <v>0</v>
      </c>
      <c r="S23">
        <f t="shared" si="1"/>
        <v>19.644879596000113</v>
      </c>
      <c r="T23">
        <f t="shared" si="2"/>
        <v>0</v>
      </c>
      <c r="AF23" s="12">
        <v>0.9</v>
      </c>
      <c r="AG23">
        <v>0</v>
      </c>
    </row>
    <row r="24" spans="1:33" x14ac:dyDescent="0.2">
      <c r="A24">
        <v>20</v>
      </c>
      <c r="B24" s="27">
        <v>1.0333225023312895</v>
      </c>
      <c r="C24" s="27">
        <v>1.5404912259621812</v>
      </c>
      <c r="D24" s="27">
        <v>1.2231119683364122</v>
      </c>
      <c r="E24" s="27">
        <v>1.1789935761468855</v>
      </c>
      <c r="F24" s="27">
        <v>1.620675641538196</v>
      </c>
      <c r="G24" s="27">
        <v>1.0628329269378236</v>
      </c>
      <c r="H24" s="27">
        <v>1.8438448649135188</v>
      </c>
      <c r="I24" s="27">
        <v>1.849937424148222</v>
      </c>
      <c r="J24" s="27">
        <v>1.2595585843552608</v>
      </c>
      <c r="K24" s="27">
        <v>1.5378696362323616</v>
      </c>
      <c r="L24" s="27">
        <v>1.6509172050859684</v>
      </c>
      <c r="M24" s="27">
        <v>1.5422354784653258</v>
      </c>
      <c r="N24" s="27">
        <v>1.3733699396797241</v>
      </c>
      <c r="O24" s="27">
        <v>1.6486615553776993</v>
      </c>
      <c r="P24" s="27">
        <v>1.1101353218996963</v>
      </c>
      <c r="Q24" s="2"/>
      <c r="R24" s="2">
        <f t="shared" si="0"/>
        <v>0</v>
      </c>
      <c r="S24">
        <f t="shared" si="1"/>
        <v>21.475957851410566</v>
      </c>
      <c r="T24">
        <f t="shared" si="2"/>
        <v>0</v>
      </c>
      <c r="AF24" s="12">
        <v>1</v>
      </c>
      <c r="AG24">
        <v>0</v>
      </c>
    </row>
    <row r="25" spans="1:33" x14ac:dyDescent="0.2">
      <c r="A25">
        <v>21</v>
      </c>
      <c r="B25" s="27">
        <v>1.5935684307481546</v>
      </c>
      <c r="C25" s="27">
        <v>1.8349575085275887</v>
      </c>
      <c r="D25" s="27">
        <v>1.3873050203709254</v>
      </c>
      <c r="E25" s="27">
        <v>1.8654135966474867</v>
      </c>
      <c r="F25" s="27">
        <v>1.4738280613918631</v>
      </c>
      <c r="G25" s="27">
        <v>1.0195101889301654</v>
      </c>
      <c r="H25" s="27">
        <v>1.5588323437418754</v>
      </c>
      <c r="I25" s="27">
        <v>1.7642332691091569</v>
      </c>
      <c r="J25" s="27">
        <v>1.2110545650899027</v>
      </c>
      <c r="K25" s="27">
        <v>1.3008786303370536</v>
      </c>
      <c r="L25" s="27">
        <v>1.6282567860534014</v>
      </c>
      <c r="M25" s="27">
        <v>1.7513307835465524</v>
      </c>
      <c r="N25" s="27">
        <v>1.8453343685180363</v>
      </c>
      <c r="O25" s="27">
        <v>1.0066111215301967</v>
      </c>
      <c r="P25" s="27">
        <v>0.98001108848111695</v>
      </c>
      <c r="Q25" s="2"/>
      <c r="R25" s="2">
        <f t="shared" si="0"/>
        <v>0</v>
      </c>
      <c r="S25">
        <f t="shared" si="1"/>
        <v>22.221125763023476</v>
      </c>
      <c r="T25">
        <f t="shared" si="2"/>
        <v>0</v>
      </c>
      <c r="AF25" s="12">
        <v>0.95</v>
      </c>
      <c r="AG25">
        <v>0</v>
      </c>
    </row>
    <row r="26" spans="1:33" x14ac:dyDescent="0.2">
      <c r="A26">
        <v>22</v>
      </c>
      <c r="B26" s="27">
        <v>0.97070447599705567</v>
      </c>
      <c r="C26" s="27">
        <v>1.3838780636586432</v>
      </c>
      <c r="D26" s="27">
        <v>1.2817318668593725</v>
      </c>
      <c r="E26" s="27">
        <v>1.1676123578189577</v>
      </c>
      <c r="F26" s="27">
        <v>1.0842240921849671</v>
      </c>
      <c r="G26" s="27">
        <v>0.76738034923146003</v>
      </c>
      <c r="H26" s="27">
        <v>0.97279429700859321</v>
      </c>
      <c r="I26" s="27">
        <v>0.86539392641111679</v>
      </c>
      <c r="J26" s="27">
        <v>1.1500326803201175</v>
      </c>
      <c r="K26" s="27">
        <v>1.2053343651218233</v>
      </c>
      <c r="L26" s="27">
        <v>1.2518850699740356</v>
      </c>
      <c r="M26" s="27">
        <v>0.82177981191619032</v>
      </c>
      <c r="N26" s="27">
        <v>1.2571265267077703</v>
      </c>
      <c r="O26" s="27">
        <v>1.2875204367149244</v>
      </c>
      <c r="P26" s="27">
        <v>1.0857449625125872</v>
      </c>
      <c r="Q26" s="2"/>
      <c r="R26" s="2">
        <f t="shared" si="0"/>
        <v>0</v>
      </c>
      <c r="S26">
        <f t="shared" si="1"/>
        <v>16.553143282437617</v>
      </c>
      <c r="T26">
        <f t="shared" si="2"/>
        <v>0</v>
      </c>
      <c r="AF26" s="12">
        <v>0.75</v>
      </c>
      <c r="AG26">
        <v>0</v>
      </c>
    </row>
    <row r="27" spans="1:33" x14ac:dyDescent="0.2">
      <c r="A27">
        <v>23</v>
      </c>
      <c r="B27" s="27">
        <v>0.66425807899462863</v>
      </c>
      <c r="C27" s="27">
        <v>0.98062429502756432</v>
      </c>
      <c r="D27" s="27">
        <v>0.71272831946684301</v>
      </c>
      <c r="E27" s="27">
        <v>0.85995384554151411</v>
      </c>
      <c r="F27" s="27">
        <v>0.58782532480721905</v>
      </c>
      <c r="G27" s="27">
        <v>0.82427518013119516</v>
      </c>
      <c r="H27" s="27">
        <v>0.84095712808454381</v>
      </c>
      <c r="I27" s="27">
        <v>0.8462263604922744</v>
      </c>
      <c r="J27" s="27">
        <v>0.58784313183302062</v>
      </c>
      <c r="K27" s="27">
        <v>0.89075863009453471</v>
      </c>
      <c r="L27" s="27">
        <v>0.96128103060983661</v>
      </c>
      <c r="M27" s="27">
        <v>0.61615108384727124</v>
      </c>
      <c r="N27" s="27">
        <v>0.64522584337267341</v>
      </c>
      <c r="O27" s="27">
        <v>0.97703061226176291</v>
      </c>
      <c r="P27" s="27">
        <v>0.67407013133110749</v>
      </c>
      <c r="Q27" s="2"/>
      <c r="R27" s="2">
        <f t="shared" si="0"/>
        <v>0</v>
      </c>
      <c r="S27">
        <f>SUM(B27:R27)</f>
        <v>11.669208995895987</v>
      </c>
      <c r="T27">
        <f t="shared" si="2"/>
        <v>0</v>
      </c>
      <c r="AF27" s="12">
        <v>0.5</v>
      </c>
      <c r="AG27">
        <v>0</v>
      </c>
    </row>
    <row r="28" spans="1:33" s="1" customFormat="1" x14ac:dyDescent="0.2">
      <c r="A28" s="1">
        <v>24</v>
      </c>
      <c r="B28" s="28">
        <v>0.50017992222501151</v>
      </c>
      <c r="C28" s="28">
        <v>0.44685132296783409</v>
      </c>
      <c r="D28" s="28">
        <v>0.47859922700856611</v>
      </c>
      <c r="E28" s="28">
        <v>0.30825556556798966</v>
      </c>
      <c r="F28" s="28">
        <v>0.3071346270119969</v>
      </c>
      <c r="G28" s="28">
        <v>0.55603168551466775</v>
      </c>
      <c r="H28" s="28">
        <v>0.42602061252412343</v>
      </c>
      <c r="I28" s="28">
        <v>0.32689882521756103</v>
      </c>
      <c r="J28" s="28">
        <v>0.50689320646703462</v>
      </c>
      <c r="K28" s="28">
        <v>0.53198557909226352</v>
      </c>
      <c r="L28" s="28">
        <v>0.35028976969131947</v>
      </c>
      <c r="M28" s="28">
        <v>0.34267698660095419</v>
      </c>
      <c r="N28" s="28">
        <v>0.55828423847784758</v>
      </c>
      <c r="O28" s="28">
        <v>0.46617074985353579</v>
      </c>
      <c r="P28" s="28">
        <v>0.48422402330387126</v>
      </c>
      <c r="Q28" s="3"/>
      <c r="R28" s="3">
        <f t="shared" si="0"/>
        <v>0</v>
      </c>
      <c r="S28" s="1">
        <f t="shared" si="1"/>
        <v>6.5904963415245765</v>
      </c>
      <c r="T28" s="1">
        <f t="shared" si="2"/>
        <v>0</v>
      </c>
      <c r="AF28" s="13">
        <v>0.3</v>
      </c>
      <c r="AG28" s="1">
        <v>0</v>
      </c>
    </row>
    <row r="29" spans="1:33" s="15" customFormat="1" x14ac:dyDescent="0.2">
      <c r="A29" s="15" t="s">
        <v>15</v>
      </c>
      <c r="B29" s="20">
        <f>SUM(B5:B28)</f>
        <v>17.149813182052561</v>
      </c>
      <c r="C29" s="20">
        <f t="shared" ref="C29:T29" si="3">SUM(C5:C28)</f>
        <v>18.084927678773173</v>
      </c>
      <c r="D29" s="20">
        <f t="shared" si="3"/>
        <v>16.42488569186041</v>
      </c>
      <c r="E29" s="20">
        <f t="shared" si="3"/>
        <v>16.907659831550518</v>
      </c>
      <c r="F29" s="20">
        <f t="shared" si="3"/>
        <v>17.028964113332144</v>
      </c>
      <c r="G29" s="20">
        <f t="shared" si="3"/>
        <v>15.18653868865786</v>
      </c>
      <c r="H29" s="20">
        <f t="shared" si="3"/>
        <v>16.415708043599253</v>
      </c>
      <c r="I29" s="20">
        <f t="shared" si="3"/>
        <v>16.925302425412781</v>
      </c>
      <c r="J29" s="20">
        <f t="shared" si="3"/>
        <v>16.29396605683516</v>
      </c>
      <c r="K29" s="20">
        <f t="shared" si="3"/>
        <v>16.297593764954573</v>
      </c>
      <c r="L29" s="20">
        <f t="shared" si="3"/>
        <v>17.147814601193097</v>
      </c>
      <c r="M29" s="20">
        <f t="shared" si="3"/>
        <v>15.787297928643744</v>
      </c>
      <c r="N29" s="20">
        <f t="shared" si="3"/>
        <v>17.28789407254968</v>
      </c>
      <c r="O29" s="20">
        <f t="shared" si="3"/>
        <v>17.104692914255384</v>
      </c>
      <c r="P29" s="20">
        <f t="shared" si="3"/>
        <v>15.187451572175441</v>
      </c>
      <c r="Q29" s="21">
        <f t="shared" si="3"/>
        <v>0</v>
      </c>
      <c r="R29" s="16">
        <f t="shared" si="3"/>
        <v>-231.0300416666667</v>
      </c>
      <c r="S29" s="16">
        <f t="shared" si="3"/>
        <v>18.200468899179089</v>
      </c>
      <c r="T29" s="17">
        <f t="shared" si="3"/>
        <v>-140.67589656010995</v>
      </c>
    </row>
    <row r="30" spans="1:33" x14ac:dyDescent="0.2">
      <c r="A30" t="s">
        <v>35</v>
      </c>
      <c r="B30" s="29">
        <v>6.5370497721006074E-2</v>
      </c>
      <c r="C30" s="29">
        <v>6.8934903900119332E-2</v>
      </c>
      <c r="D30" s="29">
        <v>6.260726815445404E-2</v>
      </c>
      <c r="E30" s="29">
        <v>6.4447473960976054E-2</v>
      </c>
      <c r="F30" s="29">
        <v>6.4909853416167923E-2</v>
      </c>
      <c r="G30" s="29">
        <v>5.7887020820482936E-2</v>
      </c>
      <c r="H30" s="29">
        <v>6.2572285415670101E-2</v>
      </c>
      <c r="I30" s="29">
        <v>6.4514722806756519E-2</v>
      </c>
      <c r="J30" s="29">
        <v>6.2108237546237108E-2</v>
      </c>
      <c r="K30" s="29">
        <v>6.2122065398635358E-2</v>
      </c>
      <c r="L30" s="29">
        <v>6.5362879665690932E-2</v>
      </c>
      <c r="M30" s="29">
        <v>6.0176954250748441E-2</v>
      </c>
      <c r="N30" s="29">
        <v>6.5896825118379798E-2</v>
      </c>
      <c r="O30" s="29">
        <v>6.519851133655559E-2</v>
      </c>
      <c r="P30" s="29">
        <v>5.7890500488119841E-2</v>
      </c>
      <c r="Q30" s="29">
        <v>0.05</v>
      </c>
      <c r="R30" s="19">
        <f>SUM(B30:Q30)</f>
        <v>1.0000000000000002</v>
      </c>
      <c r="S30" s="14"/>
    </row>
    <row r="31" spans="1:33" x14ac:dyDescent="0.2">
      <c r="A31" t="s">
        <v>14</v>
      </c>
      <c r="B31" s="22">
        <f>B29*365</f>
        <v>6259.6818114491853</v>
      </c>
      <c r="C31" s="22">
        <f t="shared" ref="C31:R31" si="4">C29*365</f>
        <v>6600.9986027522082</v>
      </c>
      <c r="D31" s="22">
        <f t="shared" si="4"/>
        <v>5995.0832775290501</v>
      </c>
      <c r="E31" s="22">
        <f t="shared" si="4"/>
        <v>6171.2958385159391</v>
      </c>
      <c r="F31" s="22">
        <f t="shared" si="4"/>
        <v>6215.5719013662329</v>
      </c>
      <c r="G31" s="22">
        <f t="shared" si="4"/>
        <v>5543.0866213601194</v>
      </c>
      <c r="H31" s="22">
        <f t="shared" si="4"/>
        <v>5991.7334359137276</v>
      </c>
      <c r="I31" s="22">
        <f t="shared" si="4"/>
        <v>6177.7353852756651</v>
      </c>
      <c r="J31" s="22">
        <f t="shared" si="4"/>
        <v>5947.297610744833</v>
      </c>
      <c r="K31" s="22">
        <f t="shared" si="4"/>
        <v>5948.6217242084194</v>
      </c>
      <c r="L31" s="22">
        <f t="shared" si="4"/>
        <v>6258.9523294354804</v>
      </c>
      <c r="M31" s="22">
        <f t="shared" si="4"/>
        <v>5762.3637439549666</v>
      </c>
      <c r="N31" s="22">
        <f t="shared" si="4"/>
        <v>6310.0813364806327</v>
      </c>
      <c r="O31" s="22">
        <f t="shared" si="4"/>
        <v>6243.2129137032152</v>
      </c>
      <c r="P31" s="22">
        <f t="shared" si="4"/>
        <v>5543.4198238440358</v>
      </c>
      <c r="Q31" s="23">
        <f t="shared" si="4"/>
        <v>0</v>
      </c>
      <c r="R31" s="14">
        <f t="shared" si="4"/>
        <v>-84325.965208333349</v>
      </c>
      <c r="S31" s="14"/>
    </row>
    <row r="32" spans="1:33" x14ac:dyDescent="0.2">
      <c r="A32" t="s">
        <v>16</v>
      </c>
      <c r="B32">
        <v>745</v>
      </c>
    </row>
    <row r="33" spans="1:18" x14ac:dyDescent="0.2">
      <c r="A33" t="s">
        <v>32</v>
      </c>
      <c r="B33">
        <v>75</v>
      </c>
      <c r="E33" s="6" t="s">
        <v>22</v>
      </c>
      <c r="F33" s="2">
        <v>50</v>
      </c>
      <c r="G33" t="s">
        <v>31</v>
      </c>
      <c r="H33" s="6">
        <f>ROUND(F33*1000/550,0)</f>
        <v>91</v>
      </c>
      <c r="I33" s="6" t="s">
        <v>23</v>
      </c>
      <c r="J33" s="6">
        <f>H33*2.2</f>
        <v>200.20000000000002</v>
      </c>
      <c r="K33" s="6" t="s">
        <v>24</v>
      </c>
      <c r="L33" s="6"/>
      <c r="M33" s="6"/>
    </row>
    <row r="34" spans="1:18" x14ac:dyDescent="0.2">
      <c r="A34" t="s">
        <v>17</v>
      </c>
      <c r="B34">
        <v>350</v>
      </c>
    </row>
    <row r="35" spans="1:18" x14ac:dyDescent="0.2">
      <c r="A35" s="10" t="s">
        <v>40</v>
      </c>
      <c r="B35" s="10">
        <f>-T29*365</f>
        <v>51346.70224444013</v>
      </c>
    </row>
    <row r="36" spans="1:18" x14ac:dyDescent="0.2">
      <c r="A36" s="10"/>
      <c r="B36" s="42">
        <v>1</v>
      </c>
      <c r="C36" s="42">
        <v>2</v>
      </c>
      <c r="D36" s="42">
        <v>3</v>
      </c>
      <c r="E36" s="42">
        <v>4</v>
      </c>
      <c r="F36" s="42">
        <v>5</v>
      </c>
      <c r="G36" s="42">
        <v>6</v>
      </c>
      <c r="H36" s="42">
        <v>7</v>
      </c>
      <c r="I36" s="42">
        <v>8</v>
      </c>
      <c r="J36" s="42">
        <v>9</v>
      </c>
      <c r="K36" s="42">
        <v>10</v>
      </c>
      <c r="L36" s="42">
        <v>11</v>
      </c>
      <c r="M36" s="42">
        <v>12</v>
      </c>
      <c r="N36" s="42">
        <v>13</v>
      </c>
      <c r="O36" s="42">
        <v>14</v>
      </c>
      <c r="P36" s="42">
        <v>15</v>
      </c>
      <c r="Q36" s="10">
        <v>16</v>
      </c>
    </row>
    <row r="37" spans="1:18" x14ac:dyDescent="0.2">
      <c r="A37" s="43" t="s">
        <v>13</v>
      </c>
      <c r="B37" s="51">
        <f>-B29*$B$32*365/1000000</f>
        <v>-4.6634629495296425</v>
      </c>
      <c r="C37" s="51">
        <f t="shared" ref="C37:Q37" si="5">-C29*$B$32*365/1000000</f>
        <v>-4.9177439590503953</v>
      </c>
      <c r="D37" s="51">
        <f t="shared" si="5"/>
        <v>-4.4663370417591421</v>
      </c>
      <c r="E37" s="51">
        <f t="shared" si="5"/>
        <v>-4.5976153996943747</v>
      </c>
      <c r="F37" s="51">
        <f t="shared" si="5"/>
        <v>-4.6306010665178432</v>
      </c>
      <c r="G37" s="51">
        <f t="shared" si="5"/>
        <v>-4.1295995329132884</v>
      </c>
      <c r="H37" s="51">
        <f t="shared" si="5"/>
        <v>-4.4638414097557266</v>
      </c>
      <c r="I37" s="51">
        <f t="shared" si="5"/>
        <v>-4.6024128620303699</v>
      </c>
      <c r="J37" s="51">
        <f t="shared" si="5"/>
        <v>-4.4307367200049006</v>
      </c>
      <c r="K37" s="51">
        <f t="shared" si="5"/>
        <v>-4.4317231845352723</v>
      </c>
      <c r="L37" s="51">
        <f t="shared" si="5"/>
        <v>-4.6629194854294331</v>
      </c>
      <c r="M37" s="51">
        <f t="shared" si="5"/>
        <v>-4.29296098924645</v>
      </c>
      <c r="N37" s="51">
        <f t="shared" si="5"/>
        <v>-4.7010105956780714</v>
      </c>
      <c r="O37" s="51">
        <f t="shared" si="5"/>
        <v>-4.651193620708896</v>
      </c>
      <c r="P37" s="51">
        <f t="shared" si="5"/>
        <v>-4.1298477687638062</v>
      </c>
      <c r="Q37" s="11">
        <f t="shared" si="5"/>
        <v>0</v>
      </c>
      <c r="R37" s="11">
        <f>SUM(B37:Q37)</f>
        <v>-67.772006585617618</v>
      </c>
    </row>
    <row r="38" spans="1:18" x14ac:dyDescent="0.2">
      <c r="A38" s="49" t="s">
        <v>34</v>
      </c>
      <c r="B38" s="52">
        <f>IF(B30*$B$35-B31&lt;0,((B30*$B$35-B31)*$B$32-B30*$B$35*$B$33)/1000000,(-B31*$B$33+($B$35*B30-B31)*$B$34)/1000000)</f>
        <v>-2.4145680965552376</v>
      </c>
      <c r="C38" s="52">
        <f t="shared" ref="C38:Q38" si="6">IF(C30*$B$35-C31&lt;0,((C30*$B$35-C31)*$B$32-C30*$B$35*$B$33)/1000000,(-C31*$B$33+($B$35*C30-C31)*$B$34)/1000000)</f>
        <v>-2.5462253692286851</v>
      </c>
      <c r="D38" s="52">
        <f t="shared" si="6"/>
        <v>-2.3125036150618801</v>
      </c>
      <c r="E38" s="52">
        <f t="shared" si="6"/>
        <v>-2.3804746782544091</v>
      </c>
      <c r="F38" s="52">
        <f t="shared" si="6"/>
        <v>-2.3975534327373902</v>
      </c>
      <c r="G38" s="52">
        <f t="shared" si="6"/>
        <v>-2.1381534262489694</v>
      </c>
      <c r="H38" s="52">
        <f t="shared" si="6"/>
        <v>-2.3112114694007277</v>
      </c>
      <c r="I38" s="52">
        <f t="shared" si="6"/>
        <v>-2.3829586262618214</v>
      </c>
      <c r="J38" s="52">
        <f t="shared" si="6"/>
        <v>-2.2940710892617928</v>
      </c>
      <c r="K38" s="52">
        <f t="shared" si="6"/>
        <v>-2.2945818439969168</v>
      </c>
      <c r="L38" s="52">
        <f t="shared" si="6"/>
        <v>-2.4142867110070529</v>
      </c>
      <c r="M38" s="52">
        <f t="shared" si="6"/>
        <v>-2.2227359274798308</v>
      </c>
      <c r="N38" s="52">
        <f t="shared" si="6"/>
        <v>-2.4340088746791193</v>
      </c>
      <c r="O38" s="52">
        <f t="shared" si="6"/>
        <v>-2.4082154932950499</v>
      </c>
      <c r="P38" s="52">
        <f t="shared" si="6"/>
        <v>-2.1382819535625854</v>
      </c>
      <c r="Q38">
        <f t="shared" si="6"/>
        <v>0.89856728927770224</v>
      </c>
      <c r="R38" s="11">
        <f t="shared" ref="R38:R40" si="7">SUM(B38:Q38)</f>
        <v>-34.191263317753766</v>
      </c>
    </row>
    <row r="39" spans="1:18" x14ac:dyDescent="0.2">
      <c r="A39" s="50" t="s">
        <v>26</v>
      </c>
      <c r="B39" s="53">
        <f>-B37+B38</f>
        <v>2.2488948529744048</v>
      </c>
      <c r="C39" s="53">
        <f t="shared" ref="C39:Q39" si="8">-C37+C38</f>
        <v>2.3715185898217102</v>
      </c>
      <c r="D39" s="53">
        <f t="shared" si="8"/>
        <v>2.1538334266972621</v>
      </c>
      <c r="E39" s="53">
        <f t="shared" si="8"/>
        <v>2.2171407214399657</v>
      </c>
      <c r="F39" s="53">
        <f t="shared" si="8"/>
        <v>2.233047633780453</v>
      </c>
      <c r="G39" s="53">
        <f t="shared" si="8"/>
        <v>1.991446106664319</v>
      </c>
      <c r="H39" s="53">
        <f t="shared" si="8"/>
        <v>2.1526299403549989</v>
      </c>
      <c r="I39" s="53">
        <f t="shared" si="8"/>
        <v>2.2194542357685485</v>
      </c>
      <c r="J39" s="53">
        <f t="shared" si="8"/>
        <v>2.1366656307431078</v>
      </c>
      <c r="K39" s="53">
        <f t="shared" si="8"/>
        <v>2.1371413405383555</v>
      </c>
      <c r="L39" s="53">
        <f t="shared" si="8"/>
        <v>2.2486327744223802</v>
      </c>
      <c r="M39" s="53">
        <f t="shared" si="8"/>
        <v>2.0702250617666191</v>
      </c>
      <c r="N39" s="53">
        <f t="shared" si="8"/>
        <v>2.2670017209989521</v>
      </c>
      <c r="O39" s="53">
        <f t="shared" si="8"/>
        <v>2.2429781274138461</v>
      </c>
      <c r="P39" s="53">
        <f t="shared" si="8"/>
        <v>1.9915658152012208</v>
      </c>
      <c r="Q39">
        <f t="shared" si="8"/>
        <v>0.89856728927770224</v>
      </c>
      <c r="R39" s="30">
        <f t="shared" si="7"/>
        <v>33.580743267863838</v>
      </c>
    </row>
    <row r="40" spans="1:18" x14ac:dyDescent="0.2">
      <c r="A40" s="40" t="s">
        <v>25</v>
      </c>
      <c r="B40" s="54">
        <f>(-B38+B37)/B37</f>
        <v>0.48223710090829147</v>
      </c>
      <c r="C40" s="54">
        <f t="shared" ref="C40:Q40" si="9">(-C38+C37)/C37</f>
        <v>0.4822371009082882</v>
      </c>
      <c r="D40" s="54">
        <f t="shared" si="9"/>
        <v>0.48223710090829564</v>
      </c>
      <c r="E40" s="54">
        <f t="shared" si="9"/>
        <v>0.48223710090829902</v>
      </c>
      <c r="F40" s="54">
        <f t="shared" si="9"/>
        <v>0.48223710090830135</v>
      </c>
      <c r="G40" s="54">
        <f t="shared" si="9"/>
        <v>0.4822371009082867</v>
      </c>
      <c r="H40" s="54">
        <f t="shared" si="9"/>
        <v>0.48223710090829519</v>
      </c>
      <c r="I40" s="54">
        <f t="shared" si="9"/>
        <v>0.48223710090828942</v>
      </c>
      <c r="J40" s="54">
        <f t="shared" si="9"/>
        <v>0.48223710090829874</v>
      </c>
      <c r="K40" s="54">
        <f t="shared" si="9"/>
        <v>0.48223710090829253</v>
      </c>
      <c r="L40" s="54">
        <f t="shared" si="9"/>
        <v>0.48223710090831468</v>
      </c>
      <c r="M40" s="54">
        <f t="shared" si="9"/>
        <v>0.48223710090829613</v>
      </c>
      <c r="N40" s="54">
        <f t="shared" si="9"/>
        <v>0.48223710090829119</v>
      </c>
      <c r="O40" s="54">
        <f t="shared" si="9"/>
        <v>0.48223710090830191</v>
      </c>
      <c r="P40" s="54">
        <f t="shared" si="9"/>
        <v>0.48223710090828825</v>
      </c>
      <c r="Q40" s="4"/>
      <c r="R40" s="32">
        <f>(-R38+R37)/R37</f>
        <v>0.49549578003774586</v>
      </c>
    </row>
    <row r="41" spans="1:18" x14ac:dyDescent="0.2">
      <c r="A41" t="s">
        <v>33</v>
      </c>
      <c r="B41" s="11">
        <f>1200*F33*4000/1000000</f>
        <v>240</v>
      </c>
      <c r="C41" t="s">
        <v>42</v>
      </c>
      <c r="N41" t="s">
        <v>52</v>
      </c>
      <c r="O41" s="31">
        <v>0.48223710090829514</v>
      </c>
    </row>
    <row r="42" spans="1:18" x14ac:dyDescent="0.2">
      <c r="A42" t="s">
        <v>18</v>
      </c>
      <c r="B42" s="5">
        <v>0.05</v>
      </c>
    </row>
    <row r="43" spans="1:18" x14ac:dyDescent="0.2">
      <c r="A43" t="s">
        <v>19</v>
      </c>
      <c r="B43">
        <v>20</v>
      </c>
      <c r="C43" t="s">
        <v>20</v>
      </c>
    </row>
    <row r="44" spans="1:18" x14ac:dyDescent="0.2">
      <c r="A44" t="s">
        <v>41</v>
      </c>
      <c r="B44">
        <f>1/15</f>
        <v>6.6666666666666666E-2</v>
      </c>
      <c r="C44">
        <f t="shared" ref="C44:P44" si="10">1/15</f>
        <v>6.6666666666666666E-2</v>
      </c>
      <c r="D44">
        <f t="shared" si="10"/>
        <v>6.6666666666666666E-2</v>
      </c>
      <c r="E44">
        <f t="shared" si="10"/>
        <v>6.6666666666666666E-2</v>
      </c>
      <c r="F44">
        <f t="shared" si="10"/>
        <v>6.6666666666666666E-2</v>
      </c>
      <c r="G44">
        <f t="shared" si="10"/>
        <v>6.6666666666666666E-2</v>
      </c>
      <c r="H44">
        <f t="shared" si="10"/>
        <v>6.6666666666666666E-2</v>
      </c>
      <c r="I44">
        <f t="shared" si="10"/>
        <v>6.6666666666666666E-2</v>
      </c>
      <c r="J44">
        <f t="shared" si="10"/>
        <v>6.6666666666666666E-2</v>
      </c>
      <c r="K44">
        <f t="shared" si="10"/>
        <v>6.6666666666666666E-2</v>
      </c>
      <c r="L44">
        <f t="shared" si="10"/>
        <v>6.6666666666666666E-2</v>
      </c>
      <c r="M44">
        <f t="shared" si="10"/>
        <v>6.6666666666666666E-2</v>
      </c>
      <c r="N44">
        <f t="shared" si="10"/>
        <v>6.6666666666666666E-2</v>
      </c>
      <c r="O44">
        <f t="shared" si="10"/>
        <v>6.6666666666666666E-2</v>
      </c>
      <c r="P44">
        <f t="shared" si="10"/>
        <v>6.6666666666666666E-2</v>
      </c>
    </row>
    <row r="45" spans="1:18" x14ac:dyDescent="0.2">
      <c r="B45">
        <v>1</v>
      </c>
      <c r="C45">
        <v>2</v>
      </c>
      <c r="D45">
        <v>3</v>
      </c>
      <c r="E45">
        <v>4</v>
      </c>
      <c r="F45">
        <v>5</v>
      </c>
      <c r="G45">
        <v>6</v>
      </c>
      <c r="H45">
        <v>7</v>
      </c>
      <c r="I45">
        <v>8</v>
      </c>
      <c r="J45">
        <v>9</v>
      </c>
      <c r="K45">
        <v>10</v>
      </c>
      <c r="L45">
        <v>11</v>
      </c>
      <c r="M45">
        <v>12</v>
      </c>
      <c r="N45">
        <v>13</v>
      </c>
      <c r="O45">
        <v>14</v>
      </c>
      <c r="P45">
        <v>15</v>
      </c>
    </row>
    <row r="46" spans="1:18" x14ac:dyDescent="0.2">
      <c r="A46" s="55" t="s">
        <v>27</v>
      </c>
      <c r="B46" s="62">
        <f>B49+NPV($B$42,B50:B69)</f>
        <v>12.026200696022556</v>
      </c>
      <c r="C46" s="62">
        <f t="shared" ref="C46:P46" si="11">C49+NPV($B$42,C50:C69)</f>
        <v>13.554363497601948</v>
      </c>
      <c r="D46" s="62">
        <f t="shared" si="11"/>
        <v>10.841525206294946</v>
      </c>
      <c r="E46" s="62">
        <f t="shared" si="11"/>
        <v>11.630474029595693</v>
      </c>
      <c r="F46" s="62">
        <f t="shared" si="11"/>
        <v>11.828709317083195</v>
      </c>
      <c r="G46" s="62">
        <f t="shared" si="11"/>
        <v>8.8178202670830466</v>
      </c>
      <c r="H46" s="62">
        <f t="shared" si="11"/>
        <v>10.826527106353293</v>
      </c>
      <c r="I46" s="62">
        <f t="shared" si="11"/>
        <v>11.659305531788977</v>
      </c>
      <c r="J46" s="62">
        <f t="shared" si="11"/>
        <v>10.62757652199646</v>
      </c>
      <c r="K46" s="62">
        <f t="shared" si="11"/>
        <v>10.63350491752686</v>
      </c>
      <c r="L46" s="62">
        <f t="shared" si="11"/>
        <v>12.022934617980958</v>
      </c>
      <c r="M46" s="62">
        <f t="shared" si="11"/>
        <v>9.799580176133432</v>
      </c>
      <c r="N46" s="62">
        <f t="shared" si="11"/>
        <v>12.251852293989074</v>
      </c>
      <c r="O46" s="62">
        <f t="shared" si="11"/>
        <v>11.952465217547793</v>
      </c>
      <c r="P46" s="62">
        <f t="shared" si="11"/>
        <v>8.819312100049725</v>
      </c>
      <c r="Q46" s="56" t="s">
        <v>21</v>
      </c>
    </row>
    <row r="47" spans="1:18" x14ac:dyDescent="0.2">
      <c r="A47" s="57" t="s">
        <v>29</v>
      </c>
      <c r="B47" s="63">
        <f>NPER($B$42,B50,B49)</f>
        <v>9.0107879550603087</v>
      </c>
      <c r="C47" s="63">
        <f t="shared" ref="C47:P47" si="12">NPER($B$42,C50,C49)</f>
        <v>8.433833040339529</v>
      </c>
      <c r="D47" s="63">
        <f t="shared" si="12"/>
        <v>9.5164488122441657</v>
      </c>
      <c r="E47" s="63">
        <f t="shared" si="12"/>
        <v>9.1735116054340509</v>
      </c>
      <c r="F47" s="63">
        <f t="shared" si="12"/>
        <v>9.091256875840223</v>
      </c>
      <c r="G47" s="63">
        <f t="shared" si="12"/>
        <v>10.528623654118407</v>
      </c>
      <c r="H47" s="63">
        <f t="shared" si="12"/>
        <v>9.5232211095029147</v>
      </c>
      <c r="I47" s="63">
        <f t="shared" si="12"/>
        <v>9.1614545021273983</v>
      </c>
      <c r="J47" s="63">
        <f t="shared" si="12"/>
        <v>9.6139934712845516</v>
      </c>
      <c r="K47" s="63">
        <f t="shared" si="12"/>
        <v>9.6112631431284079</v>
      </c>
      <c r="L47" s="63">
        <f t="shared" si="12"/>
        <v>9.0121069640532916</v>
      </c>
      <c r="M47" s="63">
        <f t="shared" si="12"/>
        <v>10.011510238057816</v>
      </c>
      <c r="N47" s="63">
        <f t="shared" si="12"/>
        <v>8.9205983579879362</v>
      </c>
      <c r="O47" s="63">
        <f t="shared" si="12"/>
        <v>9.0406619767027809</v>
      </c>
      <c r="P47" s="63">
        <f t="shared" si="12"/>
        <v>10.527796464641286</v>
      </c>
      <c r="Q47" s="58" t="s">
        <v>30</v>
      </c>
    </row>
    <row r="48" spans="1:18" x14ac:dyDescent="0.2">
      <c r="A48" s="59" t="s">
        <v>28</v>
      </c>
      <c r="B48" s="60">
        <f>IRR(B49:B69)</f>
        <v>0.1278946169327515</v>
      </c>
      <c r="C48" s="60">
        <f t="shared" ref="C48:P48" si="13">IRR(C49:C69)</f>
        <v>0.13681438530543821</v>
      </c>
      <c r="D48" s="60">
        <f t="shared" si="13"/>
        <v>0.12087605914160315</v>
      </c>
      <c r="E48" s="60">
        <f t="shared" si="13"/>
        <v>0.12556078974504015</v>
      </c>
      <c r="F48" s="60">
        <f t="shared" si="13"/>
        <v>0.12673119294940172</v>
      </c>
      <c r="G48" s="60">
        <f t="shared" si="13"/>
        <v>0.108645939698087</v>
      </c>
      <c r="H48" s="60">
        <f t="shared" si="13"/>
        <v>0.12078657586784258</v>
      </c>
      <c r="I48" s="60">
        <f t="shared" si="13"/>
        <v>0.12573117754743701</v>
      </c>
      <c r="J48" s="60">
        <f t="shared" si="13"/>
        <v>0.1195980288068621</v>
      </c>
      <c r="K48" s="60">
        <f t="shared" si="13"/>
        <v>0.11963348736519408</v>
      </c>
      <c r="L48" s="60">
        <f t="shared" si="13"/>
        <v>0.12787539719168084</v>
      </c>
      <c r="M48" s="60">
        <f t="shared" si="13"/>
        <v>0.11461963412053811</v>
      </c>
      <c r="N48" s="60">
        <f t="shared" si="13"/>
        <v>0.12922082843116134</v>
      </c>
      <c r="O48" s="60">
        <f t="shared" si="13"/>
        <v>0.12746053965290871</v>
      </c>
      <c r="P48" s="60">
        <f t="shared" si="13"/>
        <v>0.10865507856197798</v>
      </c>
      <c r="Q48" s="61" t="s">
        <v>59</v>
      </c>
    </row>
    <row r="49" spans="1:18" x14ac:dyDescent="0.2">
      <c r="A49" s="25" t="s">
        <v>43</v>
      </c>
      <c r="B49">
        <f>-$B$41*B44</f>
        <v>-16</v>
      </c>
      <c r="C49">
        <f t="shared" ref="C49:P49" si="14">-$B$41*C44</f>
        <v>-16</v>
      </c>
      <c r="D49">
        <f t="shared" si="14"/>
        <v>-16</v>
      </c>
      <c r="E49">
        <f t="shared" si="14"/>
        <v>-16</v>
      </c>
      <c r="F49">
        <f t="shared" si="14"/>
        <v>-16</v>
      </c>
      <c r="G49">
        <f t="shared" si="14"/>
        <v>-16</v>
      </c>
      <c r="H49">
        <f t="shared" si="14"/>
        <v>-16</v>
      </c>
      <c r="I49">
        <f t="shared" si="14"/>
        <v>-16</v>
      </c>
      <c r="J49">
        <f t="shared" si="14"/>
        <v>-16</v>
      </c>
      <c r="K49">
        <f t="shared" si="14"/>
        <v>-16</v>
      </c>
      <c r="L49">
        <f t="shared" si="14"/>
        <v>-16</v>
      </c>
      <c r="M49">
        <f t="shared" si="14"/>
        <v>-16</v>
      </c>
      <c r="N49">
        <f t="shared" si="14"/>
        <v>-16</v>
      </c>
      <c r="O49">
        <f t="shared" si="14"/>
        <v>-16</v>
      </c>
      <c r="P49">
        <f t="shared" si="14"/>
        <v>-16</v>
      </c>
      <c r="R49" t="s">
        <v>21</v>
      </c>
    </row>
    <row r="50" spans="1:18" x14ac:dyDescent="0.2">
      <c r="A50">
        <v>1</v>
      </c>
      <c r="B50">
        <f>B39</f>
        <v>2.2488948529744048</v>
      </c>
      <c r="C50">
        <f t="shared" ref="C50:P50" si="15">C39</f>
        <v>2.3715185898217102</v>
      </c>
      <c r="D50">
        <f t="shared" si="15"/>
        <v>2.1538334266972621</v>
      </c>
      <c r="E50">
        <f t="shared" si="15"/>
        <v>2.2171407214399657</v>
      </c>
      <c r="F50">
        <f t="shared" si="15"/>
        <v>2.233047633780453</v>
      </c>
      <c r="G50">
        <f t="shared" si="15"/>
        <v>1.991446106664319</v>
      </c>
      <c r="H50">
        <f t="shared" si="15"/>
        <v>2.1526299403549989</v>
      </c>
      <c r="I50">
        <f t="shared" si="15"/>
        <v>2.2194542357685485</v>
      </c>
      <c r="J50">
        <f t="shared" si="15"/>
        <v>2.1366656307431078</v>
      </c>
      <c r="K50">
        <f t="shared" si="15"/>
        <v>2.1371413405383555</v>
      </c>
      <c r="L50">
        <f t="shared" si="15"/>
        <v>2.2486327744223802</v>
      </c>
      <c r="M50">
        <f t="shared" si="15"/>
        <v>2.0702250617666191</v>
      </c>
      <c r="N50">
        <f t="shared" si="15"/>
        <v>2.2670017209989521</v>
      </c>
      <c r="O50">
        <f t="shared" si="15"/>
        <v>2.2429781274138461</v>
      </c>
      <c r="P50">
        <f t="shared" si="15"/>
        <v>1.9915658152012208</v>
      </c>
      <c r="R50" t="s">
        <v>21</v>
      </c>
    </row>
    <row r="51" spans="1:18" x14ac:dyDescent="0.2">
      <c r="A51">
        <v>2</v>
      </c>
      <c r="B51">
        <f>B50</f>
        <v>2.2488948529744048</v>
      </c>
      <c r="C51">
        <f t="shared" ref="C51:P66" si="16">C50</f>
        <v>2.3715185898217102</v>
      </c>
      <c r="D51">
        <f t="shared" si="16"/>
        <v>2.1538334266972621</v>
      </c>
      <c r="E51">
        <f t="shared" si="16"/>
        <v>2.2171407214399657</v>
      </c>
      <c r="F51">
        <f t="shared" si="16"/>
        <v>2.233047633780453</v>
      </c>
      <c r="G51">
        <f t="shared" si="16"/>
        <v>1.991446106664319</v>
      </c>
      <c r="H51">
        <f t="shared" si="16"/>
        <v>2.1526299403549989</v>
      </c>
      <c r="I51">
        <f t="shared" si="16"/>
        <v>2.2194542357685485</v>
      </c>
      <c r="J51">
        <f t="shared" si="16"/>
        <v>2.1366656307431078</v>
      </c>
      <c r="K51">
        <f t="shared" si="16"/>
        <v>2.1371413405383555</v>
      </c>
      <c r="L51">
        <f t="shared" si="16"/>
        <v>2.2486327744223802</v>
      </c>
      <c r="M51">
        <f t="shared" si="16"/>
        <v>2.0702250617666191</v>
      </c>
      <c r="N51">
        <f t="shared" si="16"/>
        <v>2.2670017209989521</v>
      </c>
      <c r="O51">
        <f t="shared" si="16"/>
        <v>2.2429781274138461</v>
      </c>
      <c r="P51">
        <f t="shared" si="16"/>
        <v>1.9915658152012208</v>
      </c>
      <c r="R51" t="s">
        <v>21</v>
      </c>
    </row>
    <row r="52" spans="1:18" x14ac:dyDescent="0.2">
      <c r="A52">
        <v>3</v>
      </c>
      <c r="B52">
        <f t="shared" ref="B52:P69" si="17">B51</f>
        <v>2.2488948529744048</v>
      </c>
      <c r="C52">
        <f t="shared" si="16"/>
        <v>2.3715185898217102</v>
      </c>
      <c r="D52">
        <f t="shared" si="16"/>
        <v>2.1538334266972621</v>
      </c>
      <c r="E52">
        <f t="shared" si="16"/>
        <v>2.2171407214399657</v>
      </c>
      <c r="F52">
        <f t="shared" si="16"/>
        <v>2.233047633780453</v>
      </c>
      <c r="G52">
        <f t="shared" si="16"/>
        <v>1.991446106664319</v>
      </c>
      <c r="H52">
        <f t="shared" si="16"/>
        <v>2.1526299403549989</v>
      </c>
      <c r="I52">
        <f t="shared" si="16"/>
        <v>2.2194542357685485</v>
      </c>
      <c r="J52">
        <f t="shared" si="16"/>
        <v>2.1366656307431078</v>
      </c>
      <c r="K52">
        <f t="shared" si="16"/>
        <v>2.1371413405383555</v>
      </c>
      <c r="L52">
        <f t="shared" si="16"/>
        <v>2.2486327744223802</v>
      </c>
      <c r="M52">
        <f t="shared" si="16"/>
        <v>2.0702250617666191</v>
      </c>
      <c r="N52">
        <f t="shared" si="16"/>
        <v>2.2670017209989521</v>
      </c>
      <c r="O52">
        <f t="shared" si="16"/>
        <v>2.2429781274138461</v>
      </c>
      <c r="P52">
        <f t="shared" si="16"/>
        <v>1.9915658152012208</v>
      </c>
      <c r="R52" t="s">
        <v>21</v>
      </c>
    </row>
    <row r="53" spans="1:18" x14ac:dyDescent="0.2">
      <c r="A53">
        <v>4</v>
      </c>
      <c r="B53">
        <f t="shared" si="17"/>
        <v>2.2488948529744048</v>
      </c>
      <c r="C53">
        <f t="shared" si="16"/>
        <v>2.3715185898217102</v>
      </c>
      <c r="D53">
        <f t="shared" si="16"/>
        <v>2.1538334266972621</v>
      </c>
      <c r="E53">
        <f t="shared" si="16"/>
        <v>2.2171407214399657</v>
      </c>
      <c r="F53">
        <f t="shared" si="16"/>
        <v>2.233047633780453</v>
      </c>
      <c r="G53">
        <f t="shared" si="16"/>
        <v>1.991446106664319</v>
      </c>
      <c r="H53">
        <f t="shared" si="16"/>
        <v>2.1526299403549989</v>
      </c>
      <c r="I53">
        <f t="shared" si="16"/>
        <v>2.2194542357685485</v>
      </c>
      <c r="J53">
        <f t="shared" si="16"/>
        <v>2.1366656307431078</v>
      </c>
      <c r="K53">
        <f t="shared" si="16"/>
        <v>2.1371413405383555</v>
      </c>
      <c r="L53">
        <f t="shared" si="16"/>
        <v>2.2486327744223802</v>
      </c>
      <c r="M53">
        <f t="shared" si="16"/>
        <v>2.0702250617666191</v>
      </c>
      <c r="N53">
        <f t="shared" si="16"/>
        <v>2.2670017209989521</v>
      </c>
      <c r="O53">
        <f t="shared" si="16"/>
        <v>2.2429781274138461</v>
      </c>
      <c r="P53">
        <f t="shared" si="16"/>
        <v>1.9915658152012208</v>
      </c>
      <c r="R53" t="s">
        <v>21</v>
      </c>
    </row>
    <row r="54" spans="1:18" x14ac:dyDescent="0.2">
      <c r="A54">
        <v>5</v>
      </c>
      <c r="B54">
        <f t="shared" si="17"/>
        <v>2.2488948529744048</v>
      </c>
      <c r="C54">
        <f t="shared" si="16"/>
        <v>2.3715185898217102</v>
      </c>
      <c r="D54">
        <f t="shared" si="16"/>
        <v>2.1538334266972621</v>
      </c>
      <c r="E54">
        <f t="shared" si="16"/>
        <v>2.2171407214399657</v>
      </c>
      <c r="F54">
        <f t="shared" si="16"/>
        <v>2.233047633780453</v>
      </c>
      <c r="G54">
        <f t="shared" si="16"/>
        <v>1.991446106664319</v>
      </c>
      <c r="H54">
        <f t="shared" si="16"/>
        <v>2.1526299403549989</v>
      </c>
      <c r="I54">
        <f t="shared" si="16"/>
        <v>2.2194542357685485</v>
      </c>
      <c r="J54">
        <f t="shared" si="16"/>
        <v>2.1366656307431078</v>
      </c>
      <c r="K54">
        <f t="shared" si="16"/>
        <v>2.1371413405383555</v>
      </c>
      <c r="L54">
        <f t="shared" si="16"/>
        <v>2.2486327744223802</v>
      </c>
      <c r="M54">
        <f t="shared" si="16"/>
        <v>2.0702250617666191</v>
      </c>
      <c r="N54">
        <f t="shared" si="16"/>
        <v>2.2670017209989521</v>
      </c>
      <c r="O54">
        <f t="shared" si="16"/>
        <v>2.2429781274138461</v>
      </c>
      <c r="P54">
        <f t="shared" si="16"/>
        <v>1.9915658152012208</v>
      </c>
      <c r="R54" t="s">
        <v>21</v>
      </c>
    </row>
    <row r="55" spans="1:18" x14ac:dyDescent="0.2">
      <c r="A55">
        <v>6</v>
      </c>
      <c r="B55">
        <f t="shared" si="17"/>
        <v>2.2488948529744048</v>
      </c>
      <c r="C55">
        <f t="shared" si="16"/>
        <v>2.3715185898217102</v>
      </c>
      <c r="D55">
        <f t="shared" si="16"/>
        <v>2.1538334266972621</v>
      </c>
      <c r="E55">
        <f t="shared" si="16"/>
        <v>2.2171407214399657</v>
      </c>
      <c r="F55">
        <f t="shared" si="16"/>
        <v>2.233047633780453</v>
      </c>
      <c r="G55">
        <f t="shared" si="16"/>
        <v>1.991446106664319</v>
      </c>
      <c r="H55">
        <f t="shared" si="16"/>
        <v>2.1526299403549989</v>
      </c>
      <c r="I55">
        <f t="shared" si="16"/>
        <v>2.2194542357685485</v>
      </c>
      <c r="J55">
        <f t="shared" si="16"/>
        <v>2.1366656307431078</v>
      </c>
      <c r="K55">
        <f t="shared" si="16"/>
        <v>2.1371413405383555</v>
      </c>
      <c r="L55">
        <f t="shared" si="16"/>
        <v>2.2486327744223802</v>
      </c>
      <c r="M55">
        <f t="shared" si="16"/>
        <v>2.0702250617666191</v>
      </c>
      <c r="N55">
        <f t="shared" si="16"/>
        <v>2.2670017209989521</v>
      </c>
      <c r="O55">
        <f t="shared" si="16"/>
        <v>2.2429781274138461</v>
      </c>
      <c r="P55">
        <f t="shared" si="16"/>
        <v>1.9915658152012208</v>
      </c>
      <c r="R55" t="s">
        <v>21</v>
      </c>
    </row>
    <row r="56" spans="1:18" x14ac:dyDescent="0.2">
      <c r="A56">
        <v>7</v>
      </c>
      <c r="B56">
        <f t="shared" si="17"/>
        <v>2.2488948529744048</v>
      </c>
      <c r="C56">
        <f t="shared" si="16"/>
        <v>2.3715185898217102</v>
      </c>
      <c r="D56">
        <f t="shared" si="16"/>
        <v>2.1538334266972621</v>
      </c>
      <c r="E56">
        <f t="shared" si="16"/>
        <v>2.2171407214399657</v>
      </c>
      <c r="F56">
        <f t="shared" si="16"/>
        <v>2.233047633780453</v>
      </c>
      <c r="G56">
        <f t="shared" si="16"/>
        <v>1.991446106664319</v>
      </c>
      <c r="H56">
        <f t="shared" si="16"/>
        <v>2.1526299403549989</v>
      </c>
      <c r="I56">
        <f t="shared" si="16"/>
        <v>2.2194542357685485</v>
      </c>
      <c r="J56">
        <f t="shared" si="16"/>
        <v>2.1366656307431078</v>
      </c>
      <c r="K56">
        <f t="shared" si="16"/>
        <v>2.1371413405383555</v>
      </c>
      <c r="L56">
        <f t="shared" si="16"/>
        <v>2.2486327744223802</v>
      </c>
      <c r="M56">
        <f t="shared" si="16"/>
        <v>2.0702250617666191</v>
      </c>
      <c r="N56">
        <f t="shared" si="16"/>
        <v>2.2670017209989521</v>
      </c>
      <c r="O56">
        <f t="shared" si="16"/>
        <v>2.2429781274138461</v>
      </c>
      <c r="P56">
        <f t="shared" si="16"/>
        <v>1.9915658152012208</v>
      </c>
      <c r="R56" t="s">
        <v>21</v>
      </c>
    </row>
    <row r="57" spans="1:18" x14ac:dyDescent="0.2">
      <c r="A57">
        <v>8</v>
      </c>
      <c r="B57">
        <f t="shared" si="17"/>
        <v>2.2488948529744048</v>
      </c>
      <c r="C57">
        <f t="shared" si="16"/>
        <v>2.3715185898217102</v>
      </c>
      <c r="D57">
        <f t="shared" si="16"/>
        <v>2.1538334266972621</v>
      </c>
      <c r="E57">
        <f t="shared" si="16"/>
        <v>2.2171407214399657</v>
      </c>
      <c r="F57">
        <f t="shared" si="16"/>
        <v>2.233047633780453</v>
      </c>
      <c r="G57">
        <f t="shared" si="16"/>
        <v>1.991446106664319</v>
      </c>
      <c r="H57">
        <f t="shared" si="16"/>
        <v>2.1526299403549989</v>
      </c>
      <c r="I57">
        <f t="shared" si="16"/>
        <v>2.2194542357685485</v>
      </c>
      <c r="J57">
        <f t="shared" si="16"/>
        <v>2.1366656307431078</v>
      </c>
      <c r="K57">
        <f t="shared" si="16"/>
        <v>2.1371413405383555</v>
      </c>
      <c r="L57">
        <f t="shared" si="16"/>
        <v>2.2486327744223802</v>
      </c>
      <c r="M57">
        <f t="shared" si="16"/>
        <v>2.0702250617666191</v>
      </c>
      <c r="N57">
        <f t="shared" si="16"/>
        <v>2.2670017209989521</v>
      </c>
      <c r="O57">
        <f t="shared" si="16"/>
        <v>2.2429781274138461</v>
      </c>
      <c r="P57">
        <f t="shared" si="16"/>
        <v>1.9915658152012208</v>
      </c>
      <c r="R57" t="s">
        <v>21</v>
      </c>
    </row>
    <row r="58" spans="1:18" x14ac:dyDescent="0.2">
      <c r="A58">
        <v>9</v>
      </c>
      <c r="B58">
        <f t="shared" si="17"/>
        <v>2.2488948529744048</v>
      </c>
      <c r="C58">
        <f t="shared" si="16"/>
        <v>2.3715185898217102</v>
      </c>
      <c r="D58">
        <f t="shared" si="16"/>
        <v>2.1538334266972621</v>
      </c>
      <c r="E58">
        <f t="shared" si="16"/>
        <v>2.2171407214399657</v>
      </c>
      <c r="F58">
        <f t="shared" si="16"/>
        <v>2.233047633780453</v>
      </c>
      <c r="G58">
        <f t="shared" si="16"/>
        <v>1.991446106664319</v>
      </c>
      <c r="H58">
        <f t="shared" si="16"/>
        <v>2.1526299403549989</v>
      </c>
      <c r="I58">
        <f t="shared" si="16"/>
        <v>2.2194542357685485</v>
      </c>
      <c r="J58">
        <f t="shared" si="16"/>
        <v>2.1366656307431078</v>
      </c>
      <c r="K58">
        <f t="shared" si="16"/>
        <v>2.1371413405383555</v>
      </c>
      <c r="L58">
        <f t="shared" si="16"/>
        <v>2.2486327744223802</v>
      </c>
      <c r="M58">
        <f t="shared" si="16"/>
        <v>2.0702250617666191</v>
      </c>
      <c r="N58">
        <f t="shared" si="16"/>
        <v>2.2670017209989521</v>
      </c>
      <c r="O58">
        <f t="shared" si="16"/>
        <v>2.2429781274138461</v>
      </c>
      <c r="P58">
        <f t="shared" si="16"/>
        <v>1.9915658152012208</v>
      </c>
      <c r="R58" t="s">
        <v>21</v>
      </c>
    </row>
    <row r="59" spans="1:18" x14ac:dyDescent="0.2">
      <c r="A59">
        <v>10</v>
      </c>
      <c r="B59">
        <f t="shared" si="17"/>
        <v>2.2488948529744048</v>
      </c>
      <c r="C59">
        <f t="shared" si="16"/>
        <v>2.3715185898217102</v>
      </c>
      <c r="D59">
        <f t="shared" si="16"/>
        <v>2.1538334266972621</v>
      </c>
      <c r="E59">
        <f t="shared" si="16"/>
        <v>2.2171407214399657</v>
      </c>
      <c r="F59">
        <f t="shared" si="16"/>
        <v>2.233047633780453</v>
      </c>
      <c r="G59">
        <f t="shared" si="16"/>
        <v>1.991446106664319</v>
      </c>
      <c r="H59">
        <f t="shared" si="16"/>
        <v>2.1526299403549989</v>
      </c>
      <c r="I59">
        <f t="shared" si="16"/>
        <v>2.2194542357685485</v>
      </c>
      <c r="J59">
        <f t="shared" si="16"/>
        <v>2.1366656307431078</v>
      </c>
      <c r="K59">
        <f t="shared" si="16"/>
        <v>2.1371413405383555</v>
      </c>
      <c r="L59">
        <f t="shared" si="16"/>
        <v>2.2486327744223802</v>
      </c>
      <c r="M59">
        <f t="shared" si="16"/>
        <v>2.0702250617666191</v>
      </c>
      <c r="N59">
        <f t="shared" si="16"/>
        <v>2.2670017209989521</v>
      </c>
      <c r="O59">
        <f t="shared" si="16"/>
        <v>2.2429781274138461</v>
      </c>
      <c r="P59">
        <f t="shared" si="16"/>
        <v>1.9915658152012208</v>
      </c>
      <c r="R59" t="s">
        <v>21</v>
      </c>
    </row>
    <row r="60" spans="1:18" x14ac:dyDescent="0.2">
      <c r="A60">
        <v>11</v>
      </c>
      <c r="B60">
        <f t="shared" si="17"/>
        <v>2.2488948529744048</v>
      </c>
      <c r="C60">
        <f t="shared" si="16"/>
        <v>2.3715185898217102</v>
      </c>
      <c r="D60">
        <f t="shared" si="16"/>
        <v>2.1538334266972621</v>
      </c>
      <c r="E60">
        <f t="shared" si="16"/>
        <v>2.2171407214399657</v>
      </c>
      <c r="F60">
        <f t="shared" si="16"/>
        <v>2.233047633780453</v>
      </c>
      <c r="G60">
        <f t="shared" si="16"/>
        <v>1.991446106664319</v>
      </c>
      <c r="H60">
        <f t="shared" si="16"/>
        <v>2.1526299403549989</v>
      </c>
      <c r="I60">
        <f t="shared" si="16"/>
        <v>2.2194542357685485</v>
      </c>
      <c r="J60">
        <f t="shared" si="16"/>
        <v>2.1366656307431078</v>
      </c>
      <c r="K60">
        <f t="shared" si="16"/>
        <v>2.1371413405383555</v>
      </c>
      <c r="L60">
        <f t="shared" si="16"/>
        <v>2.2486327744223802</v>
      </c>
      <c r="M60">
        <f t="shared" si="16"/>
        <v>2.0702250617666191</v>
      </c>
      <c r="N60">
        <f t="shared" si="16"/>
        <v>2.2670017209989521</v>
      </c>
      <c r="O60">
        <f t="shared" si="16"/>
        <v>2.2429781274138461</v>
      </c>
      <c r="P60">
        <f t="shared" si="16"/>
        <v>1.9915658152012208</v>
      </c>
      <c r="R60" t="s">
        <v>21</v>
      </c>
    </row>
    <row r="61" spans="1:18" x14ac:dyDescent="0.2">
      <c r="A61">
        <v>12</v>
      </c>
      <c r="B61">
        <f t="shared" si="17"/>
        <v>2.2488948529744048</v>
      </c>
      <c r="C61">
        <f t="shared" si="16"/>
        <v>2.3715185898217102</v>
      </c>
      <c r="D61">
        <f t="shared" si="16"/>
        <v>2.1538334266972621</v>
      </c>
      <c r="E61">
        <f t="shared" si="16"/>
        <v>2.2171407214399657</v>
      </c>
      <c r="F61">
        <f t="shared" si="16"/>
        <v>2.233047633780453</v>
      </c>
      <c r="G61">
        <f t="shared" si="16"/>
        <v>1.991446106664319</v>
      </c>
      <c r="H61">
        <f t="shared" si="16"/>
        <v>2.1526299403549989</v>
      </c>
      <c r="I61">
        <f t="shared" si="16"/>
        <v>2.2194542357685485</v>
      </c>
      <c r="J61">
        <f t="shared" si="16"/>
        <v>2.1366656307431078</v>
      </c>
      <c r="K61">
        <f t="shared" si="16"/>
        <v>2.1371413405383555</v>
      </c>
      <c r="L61">
        <f t="shared" si="16"/>
        <v>2.2486327744223802</v>
      </c>
      <c r="M61">
        <f t="shared" si="16"/>
        <v>2.0702250617666191</v>
      </c>
      <c r="N61">
        <f t="shared" si="16"/>
        <v>2.2670017209989521</v>
      </c>
      <c r="O61">
        <f t="shared" si="16"/>
        <v>2.2429781274138461</v>
      </c>
      <c r="P61">
        <f t="shared" si="16"/>
        <v>1.9915658152012208</v>
      </c>
      <c r="R61" t="s">
        <v>21</v>
      </c>
    </row>
    <row r="62" spans="1:18" x14ac:dyDescent="0.2">
      <c r="A62">
        <v>13</v>
      </c>
      <c r="B62">
        <f t="shared" si="17"/>
        <v>2.2488948529744048</v>
      </c>
      <c r="C62">
        <f t="shared" si="16"/>
        <v>2.3715185898217102</v>
      </c>
      <c r="D62">
        <f t="shared" si="16"/>
        <v>2.1538334266972621</v>
      </c>
      <c r="E62">
        <f t="shared" si="16"/>
        <v>2.2171407214399657</v>
      </c>
      <c r="F62">
        <f t="shared" si="16"/>
        <v>2.233047633780453</v>
      </c>
      <c r="G62">
        <f t="shared" si="16"/>
        <v>1.991446106664319</v>
      </c>
      <c r="H62">
        <f t="shared" si="16"/>
        <v>2.1526299403549989</v>
      </c>
      <c r="I62">
        <f t="shared" si="16"/>
        <v>2.2194542357685485</v>
      </c>
      <c r="J62">
        <f t="shared" si="16"/>
        <v>2.1366656307431078</v>
      </c>
      <c r="K62">
        <f t="shared" si="16"/>
        <v>2.1371413405383555</v>
      </c>
      <c r="L62">
        <f t="shared" si="16"/>
        <v>2.2486327744223802</v>
      </c>
      <c r="M62">
        <f t="shared" si="16"/>
        <v>2.0702250617666191</v>
      </c>
      <c r="N62">
        <f t="shared" si="16"/>
        <v>2.2670017209989521</v>
      </c>
      <c r="O62">
        <f t="shared" si="16"/>
        <v>2.2429781274138461</v>
      </c>
      <c r="P62">
        <f t="shared" si="16"/>
        <v>1.9915658152012208</v>
      </c>
      <c r="R62" t="s">
        <v>21</v>
      </c>
    </row>
    <row r="63" spans="1:18" x14ac:dyDescent="0.2">
      <c r="A63">
        <v>14</v>
      </c>
      <c r="B63">
        <f t="shared" si="17"/>
        <v>2.2488948529744048</v>
      </c>
      <c r="C63">
        <f t="shared" si="16"/>
        <v>2.3715185898217102</v>
      </c>
      <c r="D63">
        <f t="shared" si="16"/>
        <v>2.1538334266972621</v>
      </c>
      <c r="E63">
        <f t="shared" si="16"/>
        <v>2.2171407214399657</v>
      </c>
      <c r="F63">
        <f t="shared" si="16"/>
        <v>2.233047633780453</v>
      </c>
      <c r="G63">
        <f t="shared" si="16"/>
        <v>1.991446106664319</v>
      </c>
      <c r="H63">
        <f t="shared" si="16"/>
        <v>2.1526299403549989</v>
      </c>
      <c r="I63">
        <f t="shared" si="16"/>
        <v>2.2194542357685485</v>
      </c>
      <c r="J63">
        <f t="shared" si="16"/>
        <v>2.1366656307431078</v>
      </c>
      <c r="K63">
        <f t="shared" si="16"/>
        <v>2.1371413405383555</v>
      </c>
      <c r="L63">
        <f t="shared" si="16"/>
        <v>2.2486327744223802</v>
      </c>
      <c r="M63">
        <f t="shared" si="16"/>
        <v>2.0702250617666191</v>
      </c>
      <c r="N63">
        <f t="shared" si="16"/>
        <v>2.2670017209989521</v>
      </c>
      <c r="O63">
        <f t="shared" si="16"/>
        <v>2.2429781274138461</v>
      </c>
      <c r="P63">
        <f t="shared" si="16"/>
        <v>1.9915658152012208</v>
      </c>
      <c r="R63" t="s">
        <v>21</v>
      </c>
    </row>
    <row r="64" spans="1:18" x14ac:dyDescent="0.2">
      <c r="A64">
        <v>15</v>
      </c>
      <c r="B64">
        <f t="shared" si="17"/>
        <v>2.2488948529744048</v>
      </c>
      <c r="C64">
        <f t="shared" si="16"/>
        <v>2.3715185898217102</v>
      </c>
      <c r="D64">
        <f t="shared" si="16"/>
        <v>2.1538334266972621</v>
      </c>
      <c r="E64">
        <f t="shared" si="16"/>
        <v>2.2171407214399657</v>
      </c>
      <c r="F64">
        <f t="shared" si="16"/>
        <v>2.233047633780453</v>
      </c>
      <c r="G64">
        <f t="shared" si="16"/>
        <v>1.991446106664319</v>
      </c>
      <c r="H64">
        <f t="shared" si="16"/>
        <v>2.1526299403549989</v>
      </c>
      <c r="I64">
        <f t="shared" si="16"/>
        <v>2.2194542357685485</v>
      </c>
      <c r="J64">
        <f t="shared" si="16"/>
        <v>2.1366656307431078</v>
      </c>
      <c r="K64">
        <f t="shared" si="16"/>
        <v>2.1371413405383555</v>
      </c>
      <c r="L64">
        <f t="shared" si="16"/>
        <v>2.2486327744223802</v>
      </c>
      <c r="M64">
        <f t="shared" si="16"/>
        <v>2.0702250617666191</v>
      </c>
      <c r="N64">
        <f t="shared" si="16"/>
        <v>2.2670017209989521</v>
      </c>
      <c r="O64">
        <f t="shared" si="16"/>
        <v>2.2429781274138461</v>
      </c>
      <c r="P64">
        <f t="shared" si="16"/>
        <v>1.9915658152012208</v>
      </c>
      <c r="R64" t="s">
        <v>21</v>
      </c>
    </row>
    <row r="65" spans="1:18" x14ac:dyDescent="0.2">
      <c r="A65">
        <v>16</v>
      </c>
      <c r="B65">
        <f t="shared" si="17"/>
        <v>2.2488948529744048</v>
      </c>
      <c r="C65">
        <f t="shared" si="16"/>
        <v>2.3715185898217102</v>
      </c>
      <c r="D65">
        <f t="shared" si="16"/>
        <v>2.1538334266972621</v>
      </c>
      <c r="E65">
        <f t="shared" si="16"/>
        <v>2.2171407214399657</v>
      </c>
      <c r="F65">
        <f t="shared" si="16"/>
        <v>2.233047633780453</v>
      </c>
      <c r="G65">
        <f t="shared" si="16"/>
        <v>1.991446106664319</v>
      </c>
      <c r="H65">
        <f t="shared" si="16"/>
        <v>2.1526299403549989</v>
      </c>
      <c r="I65">
        <f t="shared" si="16"/>
        <v>2.2194542357685485</v>
      </c>
      <c r="J65">
        <f t="shared" si="16"/>
        <v>2.1366656307431078</v>
      </c>
      <c r="K65">
        <f t="shared" si="16"/>
        <v>2.1371413405383555</v>
      </c>
      <c r="L65">
        <f t="shared" si="16"/>
        <v>2.2486327744223802</v>
      </c>
      <c r="M65">
        <f t="shared" si="16"/>
        <v>2.0702250617666191</v>
      </c>
      <c r="N65">
        <f t="shared" si="16"/>
        <v>2.2670017209989521</v>
      </c>
      <c r="O65">
        <f t="shared" si="16"/>
        <v>2.2429781274138461</v>
      </c>
      <c r="P65">
        <f t="shared" si="16"/>
        <v>1.9915658152012208</v>
      </c>
      <c r="R65" t="s">
        <v>21</v>
      </c>
    </row>
    <row r="66" spans="1:18" x14ac:dyDescent="0.2">
      <c r="A66">
        <v>17</v>
      </c>
      <c r="B66">
        <f t="shared" si="17"/>
        <v>2.2488948529744048</v>
      </c>
      <c r="C66">
        <f t="shared" si="16"/>
        <v>2.3715185898217102</v>
      </c>
      <c r="D66">
        <f t="shared" si="16"/>
        <v>2.1538334266972621</v>
      </c>
      <c r="E66">
        <f t="shared" si="16"/>
        <v>2.2171407214399657</v>
      </c>
      <c r="F66">
        <f t="shared" si="16"/>
        <v>2.233047633780453</v>
      </c>
      <c r="G66">
        <f t="shared" si="16"/>
        <v>1.991446106664319</v>
      </c>
      <c r="H66">
        <f t="shared" si="16"/>
        <v>2.1526299403549989</v>
      </c>
      <c r="I66">
        <f t="shared" si="16"/>
        <v>2.2194542357685485</v>
      </c>
      <c r="J66">
        <f t="shared" si="16"/>
        <v>2.1366656307431078</v>
      </c>
      <c r="K66">
        <f t="shared" si="16"/>
        <v>2.1371413405383555</v>
      </c>
      <c r="L66">
        <f t="shared" si="16"/>
        <v>2.2486327744223802</v>
      </c>
      <c r="M66">
        <f t="shared" si="16"/>
        <v>2.0702250617666191</v>
      </c>
      <c r="N66">
        <f t="shared" si="16"/>
        <v>2.2670017209989521</v>
      </c>
      <c r="O66">
        <f t="shared" si="16"/>
        <v>2.2429781274138461</v>
      </c>
      <c r="P66">
        <f t="shared" si="16"/>
        <v>1.9915658152012208</v>
      </c>
      <c r="R66" t="s">
        <v>21</v>
      </c>
    </row>
    <row r="67" spans="1:18" x14ac:dyDescent="0.2">
      <c r="A67">
        <v>18</v>
      </c>
      <c r="B67">
        <f t="shared" si="17"/>
        <v>2.2488948529744048</v>
      </c>
      <c r="C67">
        <f t="shared" si="17"/>
        <v>2.3715185898217102</v>
      </c>
      <c r="D67">
        <f t="shared" si="17"/>
        <v>2.1538334266972621</v>
      </c>
      <c r="E67">
        <f t="shared" si="17"/>
        <v>2.2171407214399657</v>
      </c>
      <c r="F67">
        <f t="shared" si="17"/>
        <v>2.233047633780453</v>
      </c>
      <c r="G67">
        <f t="shared" si="17"/>
        <v>1.991446106664319</v>
      </c>
      <c r="H67">
        <f t="shared" si="17"/>
        <v>2.1526299403549989</v>
      </c>
      <c r="I67">
        <f t="shared" si="17"/>
        <v>2.2194542357685485</v>
      </c>
      <c r="J67">
        <f t="shared" si="17"/>
        <v>2.1366656307431078</v>
      </c>
      <c r="K67">
        <f t="shared" si="17"/>
        <v>2.1371413405383555</v>
      </c>
      <c r="L67">
        <f t="shared" si="17"/>
        <v>2.2486327744223802</v>
      </c>
      <c r="M67">
        <f t="shared" si="17"/>
        <v>2.0702250617666191</v>
      </c>
      <c r="N67">
        <f t="shared" si="17"/>
        <v>2.2670017209989521</v>
      </c>
      <c r="O67">
        <f t="shared" si="17"/>
        <v>2.2429781274138461</v>
      </c>
      <c r="P67">
        <f t="shared" si="17"/>
        <v>1.9915658152012208</v>
      </c>
      <c r="R67" t="s">
        <v>21</v>
      </c>
    </row>
    <row r="68" spans="1:18" x14ac:dyDescent="0.2">
      <c r="A68">
        <v>19</v>
      </c>
      <c r="B68">
        <f t="shared" si="17"/>
        <v>2.2488948529744048</v>
      </c>
      <c r="C68">
        <f t="shared" si="17"/>
        <v>2.3715185898217102</v>
      </c>
      <c r="D68">
        <f t="shared" si="17"/>
        <v>2.1538334266972621</v>
      </c>
      <c r="E68">
        <f t="shared" si="17"/>
        <v>2.2171407214399657</v>
      </c>
      <c r="F68">
        <f t="shared" si="17"/>
        <v>2.233047633780453</v>
      </c>
      <c r="G68">
        <f t="shared" si="17"/>
        <v>1.991446106664319</v>
      </c>
      <c r="H68">
        <f t="shared" si="17"/>
        <v>2.1526299403549989</v>
      </c>
      <c r="I68">
        <f t="shared" si="17"/>
        <v>2.2194542357685485</v>
      </c>
      <c r="J68">
        <f t="shared" si="17"/>
        <v>2.1366656307431078</v>
      </c>
      <c r="K68">
        <f t="shared" si="17"/>
        <v>2.1371413405383555</v>
      </c>
      <c r="L68">
        <f t="shared" si="17"/>
        <v>2.2486327744223802</v>
      </c>
      <c r="M68">
        <f t="shared" si="17"/>
        <v>2.0702250617666191</v>
      </c>
      <c r="N68">
        <f t="shared" si="17"/>
        <v>2.2670017209989521</v>
      </c>
      <c r="O68">
        <f t="shared" si="17"/>
        <v>2.2429781274138461</v>
      </c>
      <c r="P68">
        <f t="shared" si="17"/>
        <v>1.9915658152012208</v>
      </c>
      <c r="R68" t="s">
        <v>21</v>
      </c>
    </row>
    <row r="69" spans="1:18" x14ac:dyDescent="0.2">
      <c r="A69">
        <v>20</v>
      </c>
      <c r="B69">
        <f t="shared" si="17"/>
        <v>2.2488948529744048</v>
      </c>
      <c r="C69">
        <f t="shared" si="17"/>
        <v>2.3715185898217102</v>
      </c>
      <c r="D69">
        <f t="shared" si="17"/>
        <v>2.1538334266972621</v>
      </c>
      <c r="E69">
        <f t="shared" si="17"/>
        <v>2.2171407214399657</v>
      </c>
      <c r="F69">
        <f t="shared" si="17"/>
        <v>2.233047633780453</v>
      </c>
      <c r="G69">
        <f t="shared" si="17"/>
        <v>1.991446106664319</v>
      </c>
      <c r="H69">
        <f t="shared" si="17"/>
        <v>2.1526299403549989</v>
      </c>
      <c r="I69">
        <f t="shared" si="17"/>
        <v>2.2194542357685485</v>
      </c>
      <c r="J69">
        <f t="shared" si="17"/>
        <v>2.1366656307431078</v>
      </c>
      <c r="K69">
        <f t="shared" si="17"/>
        <v>2.1371413405383555</v>
      </c>
      <c r="L69">
        <f t="shared" si="17"/>
        <v>2.2486327744223802</v>
      </c>
      <c r="M69">
        <f t="shared" si="17"/>
        <v>2.0702250617666191</v>
      </c>
      <c r="N69">
        <f t="shared" si="17"/>
        <v>2.2670017209989521</v>
      </c>
      <c r="O69">
        <f t="shared" si="17"/>
        <v>2.2429781274138461</v>
      </c>
      <c r="P69">
        <f t="shared" si="17"/>
        <v>1.9915658152012208</v>
      </c>
      <c r="R69" t="s">
        <v>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58CF-AE3B-6247-954B-88FB6BAFE429}">
  <dimension ref="A1:AG82"/>
  <sheetViews>
    <sheetView showGridLines="0" tabSelected="1" zoomScale="80" zoomScaleNormal="80" workbookViewId="0">
      <selection activeCell="P12" sqref="P12"/>
    </sheetView>
  </sheetViews>
  <sheetFormatPr baseColWidth="10" defaultRowHeight="16" x14ac:dyDescent="0.2"/>
  <cols>
    <col min="1" max="1" width="22.33203125" customWidth="1"/>
    <col min="2" max="16" width="11.33203125" customWidth="1"/>
    <col min="17" max="17" width="6.33203125" customWidth="1"/>
  </cols>
  <sheetData>
    <row r="1" spans="1:33" x14ac:dyDescent="0.2">
      <c r="A1" t="s">
        <v>50</v>
      </c>
    </row>
    <row r="2" spans="1:33" x14ac:dyDescent="0.2">
      <c r="A2" t="s">
        <v>0</v>
      </c>
      <c r="B2">
        <f>1/16</f>
        <v>6.25E-2</v>
      </c>
      <c r="C2" t="s">
        <v>51</v>
      </c>
    </row>
    <row r="4" spans="1:33" x14ac:dyDescent="0.2">
      <c r="A4" s="9" t="s">
        <v>1</v>
      </c>
      <c r="B4" s="26" t="s">
        <v>2</v>
      </c>
      <c r="C4" s="26" t="s">
        <v>3</v>
      </c>
      <c r="D4" s="26" t="s">
        <v>4</v>
      </c>
      <c r="E4" s="26" t="s">
        <v>5</v>
      </c>
      <c r="F4" s="26" t="s">
        <v>6</v>
      </c>
      <c r="G4" s="26" t="s">
        <v>7</v>
      </c>
      <c r="H4" s="26" t="s">
        <v>8</v>
      </c>
      <c r="I4" s="26" t="s">
        <v>9</v>
      </c>
      <c r="J4" s="26" t="s">
        <v>10</v>
      </c>
      <c r="K4" s="26" t="s">
        <v>11</v>
      </c>
      <c r="L4" s="26" t="s">
        <v>36</v>
      </c>
      <c r="M4" s="26" t="s">
        <v>44</v>
      </c>
      <c r="N4" s="26" t="s">
        <v>45</v>
      </c>
      <c r="O4" s="26" t="s">
        <v>46</v>
      </c>
      <c r="P4" s="26" t="s">
        <v>47</v>
      </c>
      <c r="Q4" s="2" t="s">
        <v>48</v>
      </c>
      <c r="R4" s="2" t="s">
        <v>49</v>
      </c>
      <c r="S4" t="s">
        <v>12</v>
      </c>
      <c r="T4" t="s">
        <v>39</v>
      </c>
      <c r="AF4" t="s">
        <v>37</v>
      </c>
      <c r="AG4" t="s">
        <v>38</v>
      </c>
    </row>
    <row r="5" spans="1:33" x14ac:dyDescent="0.2">
      <c r="A5">
        <v>1</v>
      </c>
      <c r="B5" s="27">
        <v>0.23421006228271449</v>
      </c>
      <c r="C5" s="27">
        <v>0.27082059473146919</v>
      </c>
      <c r="D5" s="27">
        <v>0.2470201149218208</v>
      </c>
      <c r="E5" s="27">
        <v>0.36105227567302101</v>
      </c>
      <c r="F5" s="27">
        <v>0.35750554175377752</v>
      </c>
      <c r="G5" s="27">
        <v>0.23786297484568913</v>
      </c>
      <c r="H5" s="27">
        <v>0.35933912360130182</v>
      </c>
      <c r="I5" s="27">
        <v>0.29285816494526351</v>
      </c>
      <c r="J5" s="27">
        <v>0.36137078870194211</v>
      </c>
      <c r="K5" s="27">
        <v>0.29729661993107925</v>
      </c>
      <c r="L5" s="27">
        <v>0.21026929328471297</v>
      </c>
      <c r="M5" s="27">
        <v>0.32431006004196478</v>
      </c>
      <c r="N5" s="27">
        <v>0.26634411152306797</v>
      </c>
      <c r="O5" s="27">
        <v>0.32691009174234115</v>
      </c>
      <c r="P5" s="27">
        <v>0.25258700977091009</v>
      </c>
      <c r="Q5" s="2">
        <v>0</v>
      </c>
      <c r="R5" s="2">
        <f>-$AG5*$F$33</f>
        <v>0</v>
      </c>
      <c r="S5">
        <f>SUM(B5:R5)</f>
        <v>4.3997568277510757</v>
      </c>
      <c r="T5">
        <f>IF(S5&lt;0,S5,0)</f>
        <v>0</v>
      </c>
      <c r="U5">
        <f>S5</f>
        <v>4.3997568277510757</v>
      </c>
      <c r="AF5" s="12">
        <v>0.2</v>
      </c>
      <c r="AG5">
        <v>0</v>
      </c>
    </row>
    <row r="6" spans="1:33" x14ac:dyDescent="0.2">
      <c r="A6">
        <v>2</v>
      </c>
      <c r="B6" s="27">
        <v>0.24966323416196623</v>
      </c>
      <c r="C6" s="27">
        <v>0.29976601828113902</v>
      </c>
      <c r="D6" s="27">
        <v>0.25237966009415042</v>
      </c>
      <c r="E6" s="27">
        <v>0.26139555393021585</v>
      </c>
      <c r="F6" s="27">
        <v>0.24028760957873851</v>
      </c>
      <c r="G6" s="27">
        <v>0.19952355384522225</v>
      </c>
      <c r="H6" s="27">
        <v>0.26272026672801135</v>
      </c>
      <c r="I6" s="27">
        <v>0.18864087661175016</v>
      </c>
      <c r="J6" s="27">
        <v>0.3271367443853142</v>
      </c>
      <c r="K6" s="27">
        <v>0.26215232098308611</v>
      </c>
      <c r="L6" s="27">
        <v>0.34914397444965961</v>
      </c>
      <c r="M6" s="27">
        <v>0.32496225655733169</v>
      </c>
      <c r="N6" s="27">
        <v>0.19171371814208127</v>
      </c>
      <c r="O6" s="27">
        <v>0.34636806726638386</v>
      </c>
      <c r="P6" s="27">
        <v>0.22776053267384352</v>
      </c>
      <c r="Q6" s="2">
        <v>0</v>
      </c>
      <c r="R6" s="2">
        <f t="shared" ref="R6:R28" si="0">-$AG6*$F$33</f>
        <v>0</v>
      </c>
      <c r="S6">
        <f t="shared" ref="S6:S28" si="1">SUM(B6:R6)</f>
        <v>3.983614387688895</v>
      </c>
      <c r="T6">
        <f t="shared" ref="T6:T28" si="2">IF(S6&lt;0,S6,0)</f>
        <v>0</v>
      </c>
      <c r="U6">
        <f t="shared" ref="U6:U28" si="3">S6</f>
        <v>3.983614387688895</v>
      </c>
      <c r="AF6" s="12">
        <v>0.18</v>
      </c>
      <c r="AG6">
        <v>0</v>
      </c>
    </row>
    <row r="7" spans="1:33" x14ac:dyDescent="0.2">
      <c r="A7">
        <v>3</v>
      </c>
      <c r="B7" s="27">
        <v>0.31201919816534907</v>
      </c>
      <c r="C7" s="27">
        <v>0.32853444868815534</v>
      </c>
      <c r="D7" s="27">
        <v>0.2880521663162468</v>
      </c>
      <c r="E7" s="27">
        <v>0.23089281920506871</v>
      </c>
      <c r="F7" s="27">
        <v>0.2979819792610035</v>
      </c>
      <c r="G7" s="27">
        <v>0.30783214269430775</v>
      </c>
      <c r="H7" s="27">
        <v>0.18296169308584484</v>
      </c>
      <c r="I7" s="27">
        <v>0.1702536653512437</v>
      </c>
      <c r="J7" s="27">
        <v>0.22092915839354038</v>
      </c>
      <c r="K7" s="27">
        <v>0.29186276906481357</v>
      </c>
      <c r="L7" s="27">
        <v>0.20385533266338782</v>
      </c>
      <c r="M7" s="27">
        <v>0.22917794210178322</v>
      </c>
      <c r="N7" s="27">
        <v>0.2689163174762248</v>
      </c>
      <c r="O7" s="27">
        <v>0.33362290077722317</v>
      </c>
      <c r="P7" s="27">
        <v>0.24981942080817002</v>
      </c>
      <c r="Q7" s="2">
        <v>0</v>
      </c>
      <c r="R7" s="2">
        <f t="shared" si="0"/>
        <v>0</v>
      </c>
      <c r="S7">
        <f t="shared" si="1"/>
        <v>3.9167119540523632</v>
      </c>
      <c r="T7">
        <f t="shared" si="2"/>
        <v>0</v>
      </c>
      <c r="U7">
        <f t="shared" si="3"/>
        <v>3.9167119540523632</v>
      </c>
      <c r="AF7" s="12">
        <v>0.17</v>
      </c>
      <c r="AG7">
        <v>0</v>
      </c>
    </row>
    <row r="8" spans="1:33" x14ac:dyDescent="0.2">
      <c r="A8">
        <v>4</v>
      </c>
      <c r="B8" s="27">
        <v>0.18794906836411129</v>
      </c>
      <c r="C8" s="27">
        <v>0.27170597824911386</v>
      </c>
      <c r="D8" s="27">
        <v>0.18668360762406569</v>
      </c>
      <c r="E8" s="27">
        <v>0.32768792084696763</v>
      </c>
      <c r="F8" s="27">
        <v>0.31314239793961368</v>
      </c>
      <c r="G8" s="27">
        <v>0.17003832071607683</v>
      </c>
      <c r="H8" s="27">
        <v>0.22354118637494927</v>
      </c>
      <c r="I8" s="27">
        <v>0.20512126347126969</v>
      </c>
      <c r="J8" s="27">
        <v>0.24764732926718827</v>
      </c>
      <c r="K8" s="27">
        <v>0.21476298841627045</v>
      </c>
      <c r="L8" s="27">
        <v>0.19055823299854452</v>
      </c>
      <c r="M8" s="27">
        <v>0.32629352100758213</v>
      </c>
      <c r="N8" s="27">
        <v>0.27917715330080373</v>
      </c>
      <c r="O8" s="27">
        <v>0.33149928704227483</v>
      </c>
      <c r="P8" s="27">
        <v>0.3124761294070143</v>
      </c>
      <c r="Q8" s="2">
        <v>0</v>
      </c>
      <c r="R8" s="2">
        <f t="shared" si="0"/>
        <v>0</v>
      </c>
      <c r="S8">
        <f t="shared" si="1"/>
        <v>3.7882843850258467</v>
      </c>
      <c r="T8">
        <f t="shared" si="2"/>
        <v>0</v>
      </c>
      <c r="U8">
        <f t="shared" si="3"/>
        <v>3.7882843850258467</v>
      </c>
      <c r="AF8" s="12">
        <v>0.17</v>
      </c>
      <c r="AG8">
        <v>0</v>
      </c>
    </row>
    <row r="9" spans="1:33" x14ac:dyDescent="0.2">
      <c r="A9">
        <v>5</v>
      </c>
      <c r="B9" s="27">
        <v>0.35097969154103248</v>
      </c>
      <c r="C9" s="27">
        <v>0.31639379794610922</v>
      </c>
      <c r="D9" s="27">
        <v>0.29945975031754246</v>
      </c>
      <c r="E9" s="27">
        <v>0.25984229546328991</v>
      </c>
      <c r="F9" s="27">
        <v>0.23474364134258155</v>
      </c>
      <c r="G9" s="27">
        <v>0.27596265451248331</v>
      </c>
      <c r="H9" s="27">
        <v>0.29631734709737573</v>
      </c>
      <c r="I9" s="27">
        <v>0.21537041792336567</v>
      </c>
      <c r="J9" s="27">
        <v>0.30347102625950262</v>
      </c>
      <c r="K9" s="27">
        <v>0.29943023673720159</v>
      </c>
      <c r="L9" s="27">
        <v>0.38970003550060522</v>
      </c>
      <c r="M9" s="27">
        <v>0.28197598566326615</v>
      </c>
      <c r="N9" s="27">
        <v>0.22275951684654638</v>
      </c>
      <c r="O9" s="27">
        <v>0.25645547888581216</v>
      </c>
      <c r="P9" s="27">
        <v>0.29129398559794517</v>
      </c>
      <c r="Q9" s="2">
        <v>0</v>
      </c>
      <c r="R9" s="2">
        <f t="shared" si="0"/>
        <v>0</v>
      </c>
      <c r="S9">
        <f t="shared" si="1"/>
        <v>4.2941558616346596</v>
      </c>
      <c r="T9">
        <f t="shared" si="2"/>
        <v>0</v>
      </c>
      <c r="U9">
        <f t="shared" si="3"/>
        <v>4.2941558616346596</v>
      </c>
      <c r="AF9" s="12">
        <v>0.2</v>
      </c>
      <c r="AG9">
        <v>0</v>
      </c>
    </row>
    <row r="10" spans="1:33" x14ac:dyDescent="0.2">
      <c r="A10">
        <v>6</v>
      </c>
      <c r="B10" s="27">
        <v>0.68852055420489022</v>
      </c>
      <c r="C10" s="27">
        <v>0.89236447225444127</v>
      </c>
      <c r="D10" s="27">
        <v>0.66484041825087192</v>
      </c>
      <c r="E10" s="27">
        <v>0.6998745159031754</v>
      </c>
      <c r="F10" s="27">
        <v>0.54146015850577833</v>
      </c>
      <c r="G10" s="27">
        <v>0.59366388035542428</v>
      </c>
      <c r="H10" s="27">
        <v>0.45736604572009121</v>
      </c>
      <c r="I10" s="27">
        <v>0.79863802108368542</v>
      </c>
      <c r="J10" s="27">
        <v>0.56378852783155342</v>
      </c>
      <c r="K10" s="27">
        <v>0.63830844332098713</v>
      </c>
      <c r="L10" s="27">
        <v>0.54689239113863697</v>
      </c>
      <c r="M10" s="27">
        <v>0.81221333617403757</v>
      </c>
      <c r="N10" s="27">
        <v>0.58995831661827969</v>
      </c>
      <c r="O10" s="27">
        <v>0.84948773431340552</v>
      </c>
      <c r="P10" s="27">
        <v>0.59667258791397082</v>
      </c>
      <c r="Q10" s="2">
        <v>0</v>
      </c>
      <c r="R10" s="2">
        <f t="shared" si="0"/>
        <v>0</v>
      </c>
      <c r="S10">
        <f t="shared" si="1"/>
        <v>9.9340494035892313</v>
      </c>
      <c r="T10">
        <f t="shared" si="2"/>
        <v>0</v>
      </c>
      <c r="U10">
        <f t="shared" si="3"/>
        <v>9.9340494035892313</v>
      </c>
      <c r="AF10" s="12">
        <v>0.45</v>
      </c>
      <c r="AG10">
        <v>0</v>
      </c>
    </row>
    <row r="11" spans="1:33" x14ac:dyDescent="0.2">
      <c r="A11">
        <v>7</v>
      </c>
      <c r="B11" s="27">
        <v>0.98943651517776932</v>
      </c>
      <c r="C11" s="27">
        <v>1.125715622660179</v>
      </c>
      <c r="D11" s="27">
        <v>0.87848502427064368</v>
      </c>
      <c r="E11" s="27">
        <v>1.0622999587086721</v>
      </c>
      <c r="F11" s="27">
        <v>1.2212621013314646</v>
      </c>
      <c r="G11" s="27">
        <v>1.179814774528678</v>
      </c>
      <c r="H11" s="27">
        <v>0.78552118259707049</v>
      </c>
      <c r="I11" s="27">
        <v>0.94304533838304294</v>
      </c>
      <c r="J11" s="27">
        <v>1.054583914196588</v>
      </c>
      <c r="K11" s="27">
        <v>0.66081733053921254</v>
      </c>
      <c r="L11" s="27">
        <v>0.96048787846746586</v>
      </c>
      <c r="M11" s="27">
        <v>0.74247032122954337</v>
      </c>
      <c r="N11" s="27">
        <v>0.89196899610126734</v>
      </c>
      <c r="O11" s="27">
        <v>0.80802036974064018</v>
      </c>
      <c r="P11" s="27">
        <v>0.72654875081976766</v>
      </c>
      <c r="Q11" s="2">
        <v>0</v>
      </c>
      <c r="R11" s="2">
        <f t="shared" si="0"/>
        <v>-2.3746375000000004</v>
      </c>
      <c r="S11">
        <f t="shared" si="1"/>
        <v>11.655840578752004</v>
      </c>
      <c r="T11">
        <f t="shared" si="2"/>
        <v>0</v>
      </c>
      <c r="U11">
        <f t="shared" si="3"/>
        <v>11.655840578752004</v>
      </c>
      <c r="AF11" s="12">
        <v>0.65</v>
      </c>
      <c r="AG11">
        <v>4.7492750000000007E-2</v>
      </c>
    </row>
    <row r="12" spans="1:33" x14ac:dyDescent="0.2">
      <c r="A12">
        <v>8</v>
      </c>
      <c r="B12" s="27">
        <v>0.92714311797687421</v>
      </c>
      <c r="C12" s="27">
        <v>0.72437117827101982</v>
      </c>
      <c r="D12" s="27">
        <v>1.0146380471028267</v>
      </c>
      <c r="E12" s="27">
        <v>0.91301994699015898</v>
      </c>
      <c r="F12" s="27">
        <v>1.0074323923815041</v>
      </c>
      <c r="G12" s="27">
        <v>1.0779208495503807</v>
      </c>
      <c r="H12" s="27">
        <v>0.99182771517247703</v>
      </c>
      <c r="I12" s="27">
        <v>1.064672411541653</v>
      </c>
      <c r="J12" s="27">
        <v>0.69936788684583784</v>
      </c>
      <c r="K12" s="27">
        <v>0.59361037493590307</v>
      </c>
      <c r="L12" s="27">
        <v>0.98149692872761218</v>
      </c>
      <c r="M12" s="27">
        <v>0.89150416453154202</v>
      </c>
      <c r="N12" s="27">
        <v>0.92808235536461425</v>
      </c>
      <c r="O12" s="27">
        <v>0.93191543274812727</v>
      </c>
      <c r="P12" s="27">
        <v>1.0425763198819171</v>
      </c>
      <c r="Q12" s="2">
        <v>0</v>
      </c>
      <c r="R12" s="2">
        <f t="shared" si="0"/>
        <v>-10.001716666666667</v>
      </c>
      <c r="S12">
        <f t="shared" si="1"/>
        <v>3.7878624553557803</v>
      </c>
      <c r="T12">
        <f t="shared" si="2"/>
        <v>0</v>
      </c>
      <c r="U12">
        <f t="shared" si="3"/>
        <v>3.7878624553557803</v>
      </c>
      <c r="AF12" s="12">
        <v>0.55000000000000004</v>
      </c>
      <c r="AG12">
        <v>0.20003433333333334</v>
      </c>
    </row>
    <row r="13" spans="1:33" x14ac:dyDescent="0.2">
      <c r="A13">
        <v>9</v>
      </c>
      <c r="B13" s="27">
        <v>0.53883459390004163</v>
      </c>
      <c r="C13" s="27">
        <v>0.65668185286980063</v>
      </c>
      <c r="D13" s="27">
        <v>0.49469607309133273</v>
      </c>
      <c r="E13" s="27">
        <v>0.41934198935212597</v>
      </c>
      <c r="F13" s="27">
        <v>0.42914919997892548</v>
      </c>
      <c r="G13" s="27">
        <v>0.7492815460640877</v>
      </c>
      <c r="H13" s="27">
        <v>0.640243657924215</v>
      </c>
      <c r="I13" s="27">
        <v>0.62450121259502656</v>
      </c>
      <c r="J13" s="27">
        <v>0.63436508393459412</v>
      </c>
      <c r="K13" s="27">
        <v>0.65501128520300567</v>
      </c>
      <c r="L13" s="27">
        <v>0.42826502047854231</v>
      </c>
      <c r="M13" s="27">
        <v>0.42844073189693077</v>
      </c>
      <c r="N13" s="27">
        <v>0.42178946463045047</v>
      </c>
      <c r="O13" s="27">
        <v>0.68867598709836608</v>
      </c>
      <c r="P13" s="27">
        <v>0.71289924469912036</v>
      </c>
      <c r="Q13" s="2">
        <v>0</v>
      </c>
      <c r="R13" s="2">
        <f t="shared" si="0"/>
        <v>-18.597145833333332</v>
      </c>
      <c r="S13">
        <f t="shared" si="1"/>
        <v>-10.074968889616768</v>
      </c>
      <c r="T13">
        <f t="shared" si="2"/>
        <v>-10.074968889616768</v>
      </c>
      <c r="AF13" s="12">
        <v>0.4</v>
      </c>
      <c r="AG13">
        <v>0.37194291666666662</v>
      </c>
    </row>
    <row r="14" spans="1:33" x14ac:dyDescent="0.2">
      <c r="A14">
        <v>10</v>
      </c>
      <c r="B14" s="27">
        <v>0.37084108595509274</v>
      </c>
      <c r="C14" s="27">
        <v>0.36515114825042694</v>
      </c>
      <c r="D14" s="27">
        <v>0.59330800848638499</v>
      </c>
      <c r="E14" s="27">
        <v>0.49624273728777363</v>
      </c>
      <c r="F14" s="27">
        <v>0.41272474866643644</v>
      </c>
      <c r="G14" s="27">
        <v>0.46166053240161198</v>
      </c>
      <c r="H14" s="27">
        <v>0.44992364823126219</v>
      </c>
      <c r="I14" s="27">
        <v>0.52896120406179625</v>
      </c>
      <c r="J14" s="27">
        <v>0.53343965341780963</v>
      </c>
      <c r="K14" s="27">
        <v>0.38050800462289214</v>
      </c>
      <c r="L14" s="27">
        <v>0.5351971330921641</v>
      </c>
      <c r="M14" s="27">
        <v>0.46751915692457957</v>
      </c>
      <c r="N14" s="27">
        <v>0.38037980825419176</v>
      </c>
      <c r="O14" s="27">
        <v>0.41095217687848717</v>
      </c>
      <c r="P14" s="27">
        <v>0.54602556885677267</v>
      </c>
      <c r="Q14" s="2">
        <v>0</v>
      </c>
      <c r="R14" s="2">
        <f t="shared" si="0"/>
        <v>-25.609312499999998</v>
      </c>
      <c r="S14">
        <f t="shared" si="1"/>
        <v>-18.676477884612318</v>
      </c>
      <c r="T14">
        <f t="shared" si="2"/>
        <v>-18.676477884612318</v>
      </c>
      <c r="AF14" s="12">
        <v>0.35</v>
      </c>
      <c r="AG14">
        <v>0.51218624999999995</v>
      </c>
    </row>
    <row r="15" spans="1:33" x14ac:dyDescent="0.2">
      <c r="A15">
        <v>11</v>
      </c>
      <c r="B15" s="27">
        <v>0.46330867427505035</v>
      </c>
      <c r="C15" s="27">
        <v>0.37595553555616301</v>
      </c>
      <c r="D15" s="27">
        <v>0.63387406609703056</v>
      </c>
      <c r="E15" s="27">
        <v>0.64834729454673334</v>
      </c>
      <c r="F15" s="27">
        <v>0.4180792280350617</v>
      </c>
      <c r="G15" s="27">
        <v>0.47590253275950123</v>
      </c>
      <c r="H15" s="27">
        <v>0.38037910407884362</v>
      </c>
      <c r="I15" s="27">
        <v>0.55439512792125722</v>
      </c>
      <c r="J15" s="27">
        <v>0.64452850570528708</v>
      </c>
      <c r="K15" s="27">
        <v>0.67895744969204075</v>
      </c>
      <c r="L15" s="27">
        <v>0.44567982559276931</v>
      </c>
      <c r="M15" s="27">
        <v>0.35527905468209037</v>
      </c>
      <c r="N15" s="27">
        <v>0.59637163220986267</v>
      </c>
      <c r="O15" s="27">
        <v>0.61243762605361773</v>
      </c>
      <c r="P15" s="27">
        <v>0.40973648642556221</v>
      </c>
      <c r="Q15" s="2">
        <v>0</v>
      </c>
      <c r="R15" s="2">
        <f t="shared" si="0"/>
        <v>-30.256341666666664</v>
      </c>
      <c r="S15">
        <f t="shared" si="1"/>
        <v>-22.563109523035791</v>
      </c>
      <c r="T15">
        <f t="shared" si="2"/>
        <v>-22.563109523035791</v>
      </c>
      <c r="AF15" s="12">
        <v>0.35</v>
      </c>
      <c r="AG15">
        <v>0.60512683333333328</v>
      </c>
    </row>
    <row r="16" spans="1:33" x14ac:dyDescent="0.2">
      <c r="A16">
        <v>12</v>
      </c>
      <c r="B16" s="27">
        <v>0.70425881540338231</v>
      </c>
      <c r="C16" s="27">
        <v>0.6133776082822735</v>
      </c>
      <c r="D16" s="27">
        <v>0.64160313551312631</v>
      </c>
      <c r="E16" s="27">
        <v>0.63003328349718901</v>
      </c>
      <c r="F16" s="27">
        <v>0.61769206745874872</v>
      </c>
      <c r="G16" s="27">
        <v>0.52318097635688776</v>
      </c>
      <c r="H16" s="27">
        <v>0.73884088702609307</v>
      </c>
      <c r="I16" s="27">
        <v>0.72566763906861143</v>
      </c>
      <c r="J16" s="27">
        <v>0.72880672842417316</v>
      </c>
      <c r="K16" s="27">
        <v>0.59344658959901986</v>
      </c>
      <c r="L16" s="27">
        <v>0.53018003238967537</v>
      </c>
      <c r="M16" s="27">
        <v>0.43642743929511585</v>
      </c>
      <c r="N16" s="27">
        <v>0.70047218615462425</v>
      </c>
      <c r="O16" s="27">
        <v>0.67467074638895952</v>
      </c>
      <c r="P16" s="27">
        <v>0.61436860498225609</v>
      </c>
      <c r="Q16" s="2">
        <v>0</v>
      </c>
      <c r="R16" s="2">
        <f t="shared" si="0"/>
        <v>-32.265491666666669</v>
      </c>
      <c r="S16">
        <f t="shared" si="1"/>
        <v>-22.792464926826533</v>
      </c>
      <c r="T16">
        <f t="shared" si="2"/>
        <v>-22.792464926826533</v>
      </c>
      <c r="AF16" s="12">
        <v>0.38</v>
      </c>
      <c r="AG16">
        <v>0.64530983333333336</v>
      </c>
    </row>
    <row r="17" spans="1:33" x14ac:dyDescent="0.2">
      <c r="A17">
        <v>13</v>
      </c>
      <c r="B17" s="27">
        <v>0.69422851035616395</v>
      </c>
      <c r="C17" s="27">
        <v>0.55916250286993552</v>
      </c>
      <c r="D17" s="27">
        <v>0.56841269390178029</v>
      </c>
      <c r="E17" s="27">
        <v>0.49525531681801865</v>
      </c>
      <c r="F17" s="27">
        <v>0.42074693012989911</v>
      </c>
      <c r="G17" s="27">
        <v>0.71166361993063831</v>
      </c>
      <c r="H17" s="27">
        <v>0.42442774145887907</v>
      </c>
      <c r="I17" s="27">
        <v>0.54844647257793377</v>
      </c>
      <c r="J17" s="27">
        <v>0.73345509294712541</v>
      </c>
      <c r="K17" s="27">
        <v>0.44799152917324642</v>
      </c>
      <c r="L17" s="27">
        <v>0.63234009857227835</v>
      </c>
      <c r="M17" s="27">
        <v>0.40140167341653099</v>
      </c>
      <c r="N17" s="27">
        <v>0.73806718964747864</v>
      </c>
      <c r="O17" s="27">
        <v>0.45427450849834711</v>
      </c>
      <c r="P17" s="27">
        <v>0.49073216143099008</v>
      </c>
      <c r="Q17" s="2">
        <v>0</v>
      </c>
      <c r="R17" s="2">
        <f t="shared" si="0"/>
        <v>-31.362883333333329</v>
      </c>
      <c r="S17">
        <f t="shared" si="1"/>
        <v>-23.04227729160408</v>
      </c>
      <c r="T17">
        <f t="shared" si="2"/>
        <v>-23.04227729160408</v>
      </c>
      <c r="AF17" s="12">
        <v>0.4</v>
      </c>
      <c r="AG17">
        <v>0.6272576666666666</v>
      </c>
    </row>
    <row r="18" spans="1:33" x14ac:dyDescent="0.2">
      <c r="A18">
        <v>14</v>
      </c>
      <c r="B18" s="27">
        <v>0.74405454127186299</v>
      </c>
      <c r="C18" s="27">
        <v>0.73097044766451635</v>
      </c>
      <c r="D18" s="27">
        <v>0.71898243277242224</v>
      </c>
      <c r="E18" s="27">
        <v>0.66500445875970371</v>
      </c>
      <c r="F18" s="27">
        <v>0.72661505518873748</v>
      </c>
      <c r="G18" s="27">
        <v>0.4033820315328171</v>
      </c>
      <c r="H18" s="27">
        <v>0.50777499803181492</v>
      </c>
      <c r="I18" s="27">
        <v>0.50949073683568347</v>
      </c>
      <c r="J18" s="27">
        <v>0.69809821132959549</v>
      </c>
      <c r="K18" s="27">
        <v>0.40336594474545429</v>
      </c>
      <c r="L18" s="27">
        <v>0.43915854623904532</v>
      </c>
      <c r="M18" s="27">
        <v>0.57636095753291294</v>
      </c>
      <c r="N18" s="27">
        <v>0.56896426507867892</v>
      </c>
      <c r="O18" s="27">
        <v>0.40604053425026154</v>
      </c>
      <c r="P18" s="27">
        <v>0.49090214027616313</v>
      </c>
      <c r="Q18" s="2">
        <v>0</v>
      </c>
      <c r="R18" s="2">
        <f t="shared" si="0"/>
        <v>-28.439995833333338</v>
      </c>
      <c r="S18">
        <f t="shared" si="1"/>
        <v>-19.850830531823668</v>
      </c>
      <c r="T18">
        <f t="shared" si="2"/>
        <v>-19.850830531823668</v>
      </c>
      <c r="AF18" s="12">
        <v>0.38</v>
      </c>
      <c r="AG18">
        <v>0.56879991666666674</v>
      </c>
    </row>
    <row r="19" spans="1:33" x14ac:dyDescent="0.2">
      <c r="A19">
        <v>15</v>
      </c>
      <c r="B19" s="27">
        <v>0.5358418595792418</v>
      </c>
      <c r="C19" s="27">
        <v>0.61891479542505334</v>
      </c>
      <c r="D19" s="27">
        <v>0.51691240012005479</v>
      </c>
      <c r="E19" s="27">
        <v>0.5192891584478202</v>
      </c>
      <c r="F19" s="27">
        <v>0.66384082174394987</v>
      </c>
      <c r="G19" s="27">
        <v>0.42306496961542017</v>
      </c>
      <c r="H19" s="27">
        <v>0.4682858685398858</v>
      </c>
      <c r="I19" s="27">
        <v>0.64866995706841524</v>
      </c>
      <c r="J19" s="27">
        <v>0.36029679075968424</v>
      </c>
      <c r="K19" s="27">
        <v>0.56778880598012127</v>
      </c>
      <c r="L19" s="27">
        <v>0.68944390129546684</v>
      </c>
      <c r="M19" s="27">
        <v>0.44591185715991616</v>
      </c>
      <c r="N19" s="27">
        <v>0.6299158846176568</v>
      </c>
      <c r="O19" s="27">
        <v>0.48173427042743022</v>
      </c>
      <c r="P19" s="27">
        <v>0.51568742376954557</v>
      </c>
      <c r="Q19" s="2">
        <v>0</v>
      </c>
      <c r="R19" s="2">
        <f t="shared" si="0"/>
        <v>-23.660262500000005</v>
      </c>
      <c r="S19">
        <f t="shared" si="1"/>
        <v>-15.574663735450343</v>
      </c>
      <c r="T19">
        <f t="shared" si="2"/>
        <v>-15.574663735450343</v>
      </c>
      <c r="AF19" s="12">
        <v>0.35</v>
      </c>
      <c r="AG19">
        <v>0.47320525000000008</v>
      </c>
    </row>
    <row r="20" spans="1:33" x14ac:dyDescent="0.2">
      <c r="A20">
        <v>16</v>
      </c>
      <c r="B20" s="27">
        <v>0.61149304356394441</v>
      </c>
      <c r="C20" s="27">
        <v>0.50105328176129837</v>
      </c>
      <c r="D20" s="27">
        <v>0.53036972508753644</v>
      </c>
      <c r="E20" s="27">
        <v>0.51759058403866531</v>
      </c>
      <c r="F20" s="27">
        <v>0.56303979588289443</v>
      </c>
      <c r="G20" s="27">
        <v>0.51238999382431327</v>
      </c>
      <c r="H20" s="27">
        <v>0.72811281656644211</v>
      </c>
      <c r="I20" s="27">
        <v>0.75929720040373305</v>
      </c>
      <c r="J20" s="27">
        <v>0.57296724810106081</v>
      </c>
      <c r="K20" s="27">
        <v>0.72760997156887719</v>
      </c>
      <c r="L20" s="27">
        <v>0.49884871711299517</v>
      </c>
      <c r="M20" s="27">
        <v>0.6568492064374023</v>
      </c>
      <c r="N20" s="27">
        <v>0.53199244403309365</v>
      </c>
      <c r="O20" s="27">
        <v>0.6200195961737075</v>
      </c>
      <c r="P20" s="27">
        <v>0.42533343163691578</v>
      </c>
      <c r="Q20" s="2">
        <v>0</v>
      </c>
      <c r="R20" s="2">
        <f t="shared" si="0"/>
        <v>-16.858070833333336</v>
      </c>
      <c r="S20">
        <f t="shared" si="1"/>
        <v>-8.1011037771404553</v>
      </c>
      <c r="T20">
        <f t="shared" si="2"/>
        <v>-8.1011037771404553</v>
      </c>
      <c r="AF20" s="12">
        <v>0.38</v>
      </c>
      <c r="AG20">
        <v>0.33716141666666671</v>
      </c>
    </row>
    <row r="21" spans="1:33" x14ac:dyDescent="0.2">
      <c r="A21">
        <v>17</v>
      </c>
      <c r="B21" s="27">
        <v>0.86080543831311407</v>
      </c>
      <c r="C21" s="27">
        <v>0.97556839827080011</v>
      </c>
      <c r="D21" s="27">
        <v>0.6645267087239245</v>
      </c>
      <c r="E21" s="27">
        <v>0.70607403824316806</v>
      </c>
      <c r="F21" s="27">
        <v>0.88870558894324003</v>
      </c>
      <c r="G21" s="27">
        <v>0.66088482384593628</v>
      </c>
      <c r="H21" s="27">
        <v>0.86358555870310783</v>
      </c>
      <c r="I21" s="27">
        <v>0.8033817437317774</v>
      </c>
      <c r="J21" s="27">
        <v>0.58284716386274149</v>
      </c>
      <c r="K21" s="27">
        <v>0.54118344680098041</v>
      </c>
      <c r="L21" s="27">
        <v>0.69812219714771073</v>
      </c>
      <c r="M21" s="27">
        <v>0.84862707068454357</v>
      </c>
      <c r="N21" s="27">
        <v>0.95502789815995515</v>
      </c>
      <c r="O21" s="27">
        <v>0.88228345463164426</v>
      </c>
      <c r="P21" s="27">
        <v>0.55695978162917126</v>
      </c>
      <c r="Q21" s="2">
        <v>0</v>
      </c>
      <c r="R21" s="2">
        <f t="shared" si="0"/>
        <v>-9.4285041666666665</v>
      </c>
      <c r="S21">
        <f t="shared" si="1"/>
        <v>2.0600791450251457</v>
      </c>
      <c r="T21">
        <f t="shared" si="2"/>
        <v>0</v>
      </c>
      <c r="U21">
        <f t="shared" si="3"/>
        <v>2.0600791450251457</v>
      </c>
      <c r="AF21" s="12">
        <v>0.5</v>
      </c>
      <c r="AG21">
        <v>0.18857008333333333</v>
      </c>
    </row>
    <row r="22" spans="1:33" x14ac:dyDescent="0.2">
      <c r="A22">
        <v>18</v>
      </c>
      <c r="B22" s="27">
        <v>1.2621736517501843</v>
      </c>
      <c r="C22" s="27">
        <v>0.88342050968024555</v>
      </c>
      <c r="D22" s="27">
        <v>0.78885707020475659</v>
      </c>
      <c r="E22" s="27">
        <v>0.82234962786505073</v>
      </c>
      <c r="F22" s="27">
        <v>1.1289182864681975</v>
      </c>
      <c r="G22" s="27">
        <v>1.0772212307380649</v>
      </c>
      <c r="H22" s="27">
        <v>0.95234008029087514</v>
      </c>
      <c r="I22" s="27">
        <v>0.7093309400252038</v>
      </c>
      <c r="J22" s="27">
        <v>1.3116373395916396</v>
      </c>
      <c r="K22" s="27">
        <v>1.1708794798017379</v>
      </c>
      <c r="L22" s="27">
        <v>0.84538738991775231</v>
      </c>
      <c r="M22" s="27">
        <v>0.75329899909574638</v>
      </c>
      <c r="N22" s="27">
        <v>1.3316251442227436</v>
      </c>
      <c r="O22" s="27">
        <v>0.73570655648435057</v>
      </c>
      <c r="P22" s="27">
        <v>1.3037314906518402</v>
      </c>
      <c r="Q22" s="2">
        <v>0</v>
      </c>
      <c r="R22" s="2">
        <f t="shared" si="0"/>
        <v>-2.1756791666666668</v>
      </c>
      <c r="S22">
        <f t="shared" si="1"/>
        <v>12.901198630121719</v>
      </c>
      <c r="T22">
        <f t="shared" si="2"/>
        <v>0</v>
      </c>
      <c r="U22">
        <f t="shared" si="3"/>
        <v>12.901198630121719</v>
      </c>
      <c r="AF22" s="12">
        <v>0.7</v>
      </c>
      <c r="AG22">
        <v>4.3513583333333335E-2</v>
      </c>
    </row>
    <row r="23" spans="1:33" x14ac:dyDescent="0.2">
      <c r="A23">
        <v>19</v>
      </c>
      <c r="B23" s="27">
        <v>1.6620181155136309</v>
      </c>
      <c r="C23" s="27">
        <v>1.3881970709172202</v>
      </c>
      <c r="D23" s="27">
        <v>1.3583081869217737</v>
      </c>
      <c r="E23" s="27">
        <v>1.4918371142508675</v>
      </c>
      <c r="F23" s="27">
        <v>1.4719488218073482</v>
      </c>
      <c r="G23" s="27">
        <v>0.91525694979500427</v>
      </c>
      <c r="H23" s="27">
        <v>1.0597498760980573</v>
      </c>
      <c r="I23" s="27">
        <v>0.98187022643373456</v>
      </c>
      <c r="J23" s="27">
        <v>0.99984669481464583</v>
      </c>
      <c r="K23" s="27">
        <v>1.4057833329606093</v>
      </c>
      <c r="L23" s="27">
        <v>1.7301578107095099</v>
      </c>
      <c r="M23" s="27">
        <v>1.4101000498346301</v>
      </c>
      <c r="N23" s="27">
        <v>1.1150267534120086</v>
      </c>
      <c r="O23" s="27">
        <v>1.5676236191158839</v>
      </c>
      <c r="P23" s="27">
        <v>1.0871549734151844</v>
      </c>
      <c r="Q23" s="2">
        <v>0</v>
      </c>
      <c r="R23" s="2">
        <f t="shared" si="0"/>
        <v>0</v>
      </c>
      <c r="S23">
        <f t="shared" si="1"/>
        <v>19.644879596000113</v>
      </c>
      <c r="T23">
        <f t="shared" si="2"/>
        <v>0</v>
      </c>
      <c r="U23">
        <f t="shared" si="3"/>
        <v>19.644879596000113</v>
      </c>
      <c r="AF23" s="12">
        <v>0.9</v>
      </c>
      <c r="AG23">
        <v>0</v>
      </c>
    </row>
    <row r="24" spans="1:33" x14ac:dyDescent="0.2">
      <c r="A24">
        <v>20</v>
      </c>
      <c r="B24" s="27">
        <v>1.0333225023312895</v>
      </c>
      <c r="C24" s="27">
        <v>1.5404912259621812</v>
      </c>
      <c r="D24" s="27">
        <v>1.2231119683364122</v>
      </c>
      <c r="E24" s="27">
        <v>1.1789935761468855</v>
      </c>
      <c r="F24" s="27">
        <v>1.620675641538196</v>
      </c>
      <c r="G24" s="27">
        <v>1.0628329269378236</v>
      </c>
      <c r="H24" s="27">
        <v>1.8438448649135188</v>
      </c>
      <c r="I24" s="27">
        <v>1.849937424148222</v>
      </c>
      <c r="J24" s="27">
        <v>1.2595585843552608</v>
      </c>
      <c r="K24" s="27">
        <v>1.5378696362323616</v>
      </c>
      <c r="L24" s="27">
        <v>1.6509172050859684</v>
      </c>
      <c r="M24" s="27">
        <v>1.5422354784653258</v>
      </c>
      <c r="N24" s="27">
        <v>1.3733699396797241</v>
      </c>
      <c r="O24" s="27">
        <v>1.6486615553776993</v>
      </c>
      <c r="P24" s="27">
        <v>1.1101353218996963</v>
      </c>
      <c r="Q24" s="2">
        <v>0</v>
      </c>
      <c r="R24" s="2">
        <f t="shared" si="0"/>
        <v>0</v>
      </c>
      <c r="S24">
        <f t="shared" si="1"/>
        <v>21.475957851410566</v>
      </c>
      <c r="T24">
        <f t="shared" si="2"/>
        <v>0</v>
      </c>
      <c r="U24">
        <f t="shared" si="3"/>
        <v>21.475957851410566</v>
      </c>
      <c r="AF24" s="12">
        <v>1</v>
      </c>
      <c r="AG24">
        <v>0</v>
      </c>
    </row>
    <row r="25" spans="1:33" x14ac:dyDescent="0.2">
      <c r="A25">
        <v>21</v>
      </c>
      <c r="B25" s="27">
        <v>1.5935684307481546</v>
      </c>
      <c r="C25" s="27">
        <v>1.8349575085275887</v>
      </c>
      <c r="D25" s="27">
        <v>1.3873050203709254</v>
      </c>
      <c r="E25" s="27">
        <v>1.8654135966474867</v>
      </c>
      <c r="F25" s="27">
        <v>1.4738280613918631</v>
      </c>
      <c r="G25" s="27">
        <v>1.0195101889301654</v>
      </c>
      <c r="H25" s="27">
        <v>1.5588323437418754</v>
      </c>
      <c r="I25" s="27">
        <v>1.7642332691091569</v>
      </c>
      <c r="J25" s="27">
        <v>1.2110545650899027</v>
      </c>
      <c r="K25" s="27">
        <v>1.3008786303370536</v>
      </c>
      <c r="L25" s="27">
        <v>1.6282567860534014</v>
      </c>
      <c r="M25" s="27">
        <v>1.7513307835465524</v>
      </c>
      <c r="N25" s="27">
        <v>1.8453343685180363</v>
      </c>
      <c r="O25" s="27">
        <v>1.0066111215301967</v>
      </c>
      <c r="P25" s="27">
        <v>0.98001108848111695</v>
      </c>
      <c r="Q25" s="2">
        <v>0</v>
      </c>
      <c r="R25" s="2">
        <f t="shared" si="0"/>
        <v>0</v>
      </c>
      <c r="S25">
        <f t="shared" si="1"/>
        <v>22.221125763023476</v>
      </c>
      <c r="T25">
        <f t="shared" si="2"/>
        <v>0</v>
      </c>
      <c r="U25">
        <f t="shared" si="3"/>
        <v>22.221125763023476</v>
      </c>
      <c r="AF25" s="12">
        <v>0.95</v>
      </c>
      <c r="AG25">
        <v>0</v>
      </c>
    </row>
    <row r="26" spans="1:33" x14ac:dyDescent="0.2">
      <c r="A26">
        <v>22</v>
      </c>
      <c r="B26" s="27">
        <v>0.97070447599705567</v>
      </c>
      <c r="C26" s="27">
        <v>1.3838780636586432</v>
      </c>
      <c r="D26" s="27">
        <v>1.2817318668593725</v>
      </c>
      <c r="E26" s="27">
        <v>1.1676123578189577</v>
      </c>
      <c r="F26" s="27">
        <v>1.0842240921849671</v>
      </c>
      <c r="G26" s="27">
        <v>0.76738034923146003</v>
      </c>
      <c r="H26" s="27">
        <v>0.97279429700859321</v>
      </c>
      <c r="I26" s="27">
        <v>0.86539392641111679</v>
      </c>
      <c r="J26" s="27">
        <v>1.1500326803201175</v>
      </c>
      <c r="K26" s="27">
        <v>1.2053343651218233</v>
      </c>
      <c r="L26" s="27">
        <v>1.2518850699740356</v>
      </c>
      <c r="M26" s="27">
        <v>0.82177981191619032</v>
      </c>
      <c r="N26" s="27">
        <v>1.2571265267077703</v>
      </c>
      <c r="O26" s="27">
        <v>1.2875204367149244</v>
      </c>
      <c r="P26" s="27">
        <v>1.0857449625125872</v>
      </c>
      <c r="Q26" s="2">
        <v>0</v>
      </c>
      <c r="R26" s="2">
        <f t="shared" si="0"/>
        <v>0</v>
      </c>
      <c r="S26">
        <f t="shared" si="1"/>
        <v>16.553143282437617</v>
      </c>
      <c r="T26">
        <f t="shared" si="2"/>
        <v>0</v>
      </c>
      <c r="U26">
        <f t="shared" si="3"/>
        <v>16.553143282437617</v>
      </c>
      <c r="AF26" s="12">
        <v>0.75</v>
      </c>
      <c r="AG26">
        <v>0</v>
      </c>
    </row>
    <row r="27" spans="1:33" x14ac:dyDescent="0.2">
      <c r="A27">
        <v>23</v>
      </c>
      <c r="B27" s="27">
        <v>0.66425807899462863</v>
      </c>
      <c r="C27" s="27">
        <v>0.98062429502756432</v>
      </c>
      <c r="D27" s="27">
        <v>0.71272831946684301</v>
      </c>
      <c r="E27" s="27">
        <v>0.85995384554151411</v>
      </c>
      <c r="F27" s="27">
        <v>0.58782532480721905</v>
      </c>
      <c r="G27" s="27">
        <v>0.82427518013119516</v>
      </c>
      <c r="H27" s="27">
        <v>0.84095712808454381</v>
      </c>
      <c r="I27" s="27">
        <v>0.8462263604922744</v>
      </c>
      <c r="J27" s="27">
        <v>0.58784313183302062</v>
      </c>
      <c r="K27" s="27">
        <v>0.89075863009453471</v>
      </c>
      <c r="L27" s="27">
        <v>0.96128103060983661</v>
      </c>
      <c r="M27" s="27">
        <v>0.61615108384727124</v>
      </c>
      <c r="N27" s="27">
        <v>0.64522584337267341</v>
      </c>
      <c r="O27" s="27">
        <v>0.97703061226176291</v>
      </c>
      <c r="P27" s="27">
        <v>0.67407013133110749</v>
      </c>
      <c r="Q27" s="2">
        <v>0</v>
      </c>
      <c r="R27" s="2">
        <f t="shared" si="0"/>
        <v>0</v>
      </c>
      <c r="S27">
        <f>SUM(B27:R27)</f>
        <v>11.669208995895987</v>
      </c>
      <c r="T27">
        <f t="shared" si="2"/>
        <v>0</v>
      </c>
      <c r="U27">
        <f t="shared" si="3"/>
        <v>11.669208995895987</v>
      </c>
      <c r="AF27" s="12">
        <v>0.5</v>
      </c>
      <c r="AG27">
        <v>0</v>
      </c>
    </row>
    <row r="28" spans="1:33" s="1" customFormat="1" x14ac:dyDescent="0.2">
      <c r="A28" s="1">
        <v>24</v>
      </c>
      <c r="B28" s="28">
        <v>0.50017992222501151</v>
      </c>
      <c r="C28" s="28">
        <v>0.44685132296783409</v>
      </c>
      <c r="D28" s="28">
        <v>0.47859922700856611</v>
      </c>
      <c r="E28" s="28">
        <v>0.30825556556798966</v>
      </c>
      <c r="F28" s="28">
        <v>0.3071346270119969</v>
      </c>
      <c r="G28" s="28">
        <v>0.55603168551466775</v>
      </c>
      <c r="H28" s="28">
        <v>0.42602061252412343</v>
      </c>
      <c r="I28" s="28">
        <v>0.32689882521756103</v>
      </c>
      <c r="J28" s="28">
        <v>0.50689320646703462</v>
      </c>
      <c r="K28" s="28">
        <v>0.53198557909226352</v>
      </c>
      <c r="L28" s="28">
        <v>0.35028976969131947</v>
      </c>
      <c r="M28" s="28">
        <v>0.34267698660095419</v>
      </c>
      <c r="N28" s="28">
        <v>0.55828423847784758</v>
      </c>
      <c r="O28" s="28">
        <v>0.46617074985353579</v>
      </c>
      <c r="P28" s="28">
        <v>0.48422402330387126</v>
      </c>
      <c r="Q28" s="2">
        <v>0</v>
      </c>
      <c r="R28" s="3">
        <f t="shared" si="0"/>
        <v>0</v>
      </c>
      <c r="S28" s="1">
        <f t="shared" si="1"/>
        <v>6.5904963415245765</v>
      </c>
      <c r="T28" s="1">
        <f t="shared" si="2"/>
        <v>0</v>
      </c>
      <c r="U28">
        <f t="shared" si="3"/>
        <v>6.5904963415245765</v>
      </c>
      <c r="AF28" s="13">
        <v>0.3</v>
      </c>
      <c r="AG28" s="1">
        <v>0</v>
      </c>
    </row>
    <row r="29" spans="1:33" s="15" customFormat="1" x14ac:dyDescent="0.2">
      <c r="A29" s="15" t="s">
        <v>15</v>
      </c>
      <c r="B29" s="20">
        <f>SUM(B5:B28)</f>
        <v>17.149813182052561</v>
      </c>
      <c r="C29" s="20">
        <f t="shared" ref="C29:U29" si="4">SUM(C5:C28)</f>
        <v>18.084927678773173</v>
      </c>
      <c r="D29" s="20">
        <f t="shared" si="4"/>
        <v>16.42488569186041</v>
      </c>
      <c r="E29" s="20">
        <f t="shared" si="4"/>
        <v>16.907659831550518</v>
      </c>
      <c r="F29" s="20">
        <f t="shared" si="4"/>
        <v>17.028964113332144</v>
      </c>
      <c r="G29" s="20">
        <f t="shared" si="4"/>
        <v>15.18653868865786</v>
      </c>
      <c r="H29" s="20">
        <f t="shared" si="4"/>
        <v>16.415708043599253</v>
      </c>
      <c r="I29" s="20">
        <f t="shared" si="4"/>
        <v>16.925302425412781</v>
      </c>
      <c r="J29" s="20">
        <f t="shared" ref="J29:N29" si="5">SUM(J5:J28)</f>
        <v>16.29396605683516</v>
      </c>
      <c r="K29" s="20">
        <f t="shared" si="5"/>
        <v>16.297593764954573</v>
      </c>
      <c r="L29" s="20">
        <f t="shared" si="5"/>
        <v>17.147814601193097</v>
      </c>
      <c r="M29" s="20">
        <f t="shared" si="5"/>
        <v>15.787297928643744</v>
      </c>
      <c r="N29" s="20">
        <f t="shared" si="5"/>
        <v>17.28789407254968</v>
      </c>
      <c r="O29" s="20">
        <f t="shared" si="4"/>
        <v>17.104692914255384</v>
      </c>
      <c r="P29" s="20">
        <f t="shared" si="4"/>
        <v>15.187451572175441</v>
      </c>
      <c r="Q29" s="21">
        <f t="shared" si="4"/>
        <v>0</v>
      </c>
      <c r="R29" s="16">
        <f t="shared" si="4"/>
        <v>-231.0300416666667</v>
      </c>
      <c r="S29" s="16">
        <f t="shared" si="4"/>
        <v>18.200468899179089</v>
      </c>
      <c r="T29" s="17">
        <f t="shared" si="4"/>
        <v>-140.67589656010995</v>
      </c>
      <c r="U29" s="17">
        <f t="shared" si="4"/>
        <v>158.87636545928908</v>
      </c>
    </row>
    <row r="30" spans="1:33" x14ac:dyDescent="0.2">
      <c r="A30" t="s">
        <v>35</v>
      </c>
      <c r="B30" s="18">
        <f>$B$2</f>
        <v>6.25E-2</v>
      </c>
      <c r="C30" s="18">
        <f t="shared" ref="C30:P30" si="6">$B$2</f>
        <v>6.25E-2</v>
      </c>
      <c r="D30" s="18">
        <f t="shared" si="6"/>
        <v>6.25E-2</v>
      </c>
      <c r="E30" s="18">
        <f t="shared" si="6"/>
        <v>6.25E-2</v>
      </c>
      <c r="F30" s="18">
        <f t="shared" si="6"/>
        <v>6.25E-2</v>
      </c>
      <c r="G30" s="18">
        <f t="shared" si="6"/>
        <v>6.25E-2</v>
      </c>
      <c r="H30" s="18">
        <f t="shared" si="6"/>
        <v>6.25E-2</v>
      </c>
      <c r="I30" s="18">
        <f t="shared" si="6"/>
        <v>6.25E-2</v>
      </c>
      <c r="J30" s="18">
        <f t="shared" si="6"/>
        <v>6.25E-2</v>
      </c>
      <c r="K30" s="18">
        <f t="shared" si="6"/>
        <v>6.25E-2</v>
      </c>
      <c r="L30" s="18">
        <f t="shared" si="6"/>
        <v>6.25E-2</v>
      </c>
      <c r="M30" s="18">
        <f t="shared" si="6"/>
        <v>6.25E-2</v>
      </c>
      <c r="N30" s="18">
        <f t="shared" si="6"/>
        <v>6.25E-2</v>
      </c>
      <c r="O30" s="18">
        <f t="shared" si="6"/>
        <v>6.25E-2</v>
      </c>
      <c r="P30" s="18">
        <f t="shared" si="6"/>
        <v>6.25E-2</v>
      </c>
      <c r="Q30" s="18">
        <f>$B$2</f>
        <v>6.25E-2</v>
      </c>
      <c r="R30" s="14"/>
      <c r="S30" s="14"/>
      <c r="T30">
        <f>T29*365</f>
        <v>-51346.70224444013</v>
      </c>
      <c r="U30">
        <f>U29*365</f>
        <v>57989.873392640511</v>
      </c>
    </row>
    <row r="31" spans="1:33" x14ac:dyDescent="0.2">
      <c r="A31" t="s">
        <v>14</v>
      </c>
      <c r="B31" s="22">
        <f>B29*365</f>
        <v>6259.6818114491853</v>
      </c>
      <c r="C31" s="22">
        <f t="shared" ref="C31:R31" si="7">C29*365</f>
        <v>6600.9986027522082</v>
      </c>
      <c r="D31" s="22">
        <f t="shared" si="7"/>
        <v>5995.0832775290501</v>
      </c>
      <c r="E31" s="22">
        <f t="shared" si="7"/>
        <v>6171.2958385159391</v>
      </c>
      <c r="F31" s="22">
        <f t="shared" si="7"/>
        <v>6215.5719013662329</v>
      </c>
      <c r="G31" s="22">
        <f t="shared" si="7"/>
        <v>5543.0866213601194</v>
      </c>
      <c r="H31" s="22">
        <f t="shared" si="7"/>
        <v>5991.7334359137276</v>
      </c>
      <c r="I31" s="22">
        <f t="shared" si="7"/>
        <v>6177.7353852756651</v>
      </c>
      <c r="J31" s="22">
        <f t="shared" ref="J31:N31" si="8">J29*365</f>
        <v>5947.297610744833</v>
      </c>
      <c r="K31" s="22">
        <f t="shared" si="8"/>
        <v>5948.6217242084194</v>
      </c>
      <c r="L31" s="22">
        <f t="shared" si="8"/>
        <v>6258.9523294354804</v>
      </c>
      <c r="M31" s="22">
        <f t="shared" si="8"/>
        <v>5762.3637439549666</v>
      </c>
      <c r="N31" s="22">
        <f t="shared" si="8"/>
        <v>6310.0813364806327</v>
      </c>
      <c r="O31" s="22">
        <f t="shared" si="7"/>
        <v>6243.2129137032152</v>
      </c>
      <c r="P31" s="22">
        <f t="shared" si="7"/>
        <v>5543.4198238440358</v>
      </c>
      <c r="Q31" s="23">
        <f t="shared" si="7"/>
        <v>0</v>
      </c>
      <c r="R31" s="14">
        <f t="shared" si="7"/>
        <v>-84325.965208333349</v>
      </c>
      <c r="S31" s="14"/>
    </row>
    <row r="32" spans="1:33" x14ac:dyDescent="0.2">
      <c r="A32" t="s">
        <v>16</v>
      </c>
      <c r="B32">
        <v>745</v>
      </c>
    </row>
    <row r="33" spans="1:18" x14ac:dyDescent="0.2">
      <c r="A33" t="s">
        <v>32</v>
      </c>
      <c r="B33">
        <v>75</v>
      </c>
      <c r="E33" s="6" t="s">
        <v>22</v>
      </c>
      <c r="F33" s="2">
        <v>50</v>
      </c>
      <c r="G33" t="s">
        <v>31</v>
      </c>
      <c r="H33" s="6">
        <f>ROUND(F33*1000/550,0)</f>
        <v>91</v>
      </c>
      <c r="I33" s="6" t="s">
        <v>23</v>
      </c>
      <c r="J33" s="6">
        <f>H33*2.2</f>
        <v>200.20000000000002</v>
      </c>
      <c r="K33" s="6" t="s">
        <v>24</v>
      </c>
      <c r="L33" s="6"/>
      <c r="M33" s="6"/>
    </row>
    <row r="34" spans="1:18" x14ac:dyDescent="0.2">
      <c r="A34" t="s">
        <v>17</v>
      </c>
      <c r="B34">
        <v>350</v>
      </c>
    </row>
    <row r="35" spans="1:18" x14ac:dyDescent="0.2">
      <c r="A35" s="10" t="s">
        <v>40</v>
      </c>
      <c r="B35" s="10">
        <f>-T29*365</f>
        <v>51346.70224444013</v>
      </c>
    </row>
    <row r="36" spans="1:18" x14ac:dyDescent="0.2">
      <c r="A36" s="10"/>
      <c r="B36" s="42">
        <v>1</v>
      </c>
      <c r="C36" s="42">
        <v>2</v>
      </c>
      <c r="D36" s="42">
        <v>3</v>
      </c>
      <c r="E36" s="42">
        <v>4</v>
      </c>
      <c r="F36" s="42">
        <v>5</v>
      </c>
      <c r="G36" s="42">
        <v>6</v>
      </c>
      <c r="H36" s="42">
        <v>7</v>
      </c>
      <c r="I36" s="42">
        <v>8</v>
      </c>
      <c r="J36" s="42">
        <v>9</v>
      </c>
      <c r="K36" s="42">
        <v>10</v>
      </c>
      <c r="L36" s="42">
        <v>11</v>
      </c>
      <c r="M36" s="42">
        <v>12</v>
      </c>
      <c r="N36" s="42">
        <v>13</v>
      </c>
      <c r="O36" s="42">
        <v>14</v>
      </c>
      <c r="P36" s="42">
        <v>15</v>
      </c>
      <c r="Q36" s="42">
        <v>16</v>
      </c>
      <c r="R36" t="s">
        <v>58</v>
      </c>
    </row>
    <row r="37" spans="1:18" x14ac:dyDescent="0.2">
      <c r="A37" s="43" t="s">
        <v>13</v>
      </c>
      <c r="B37" s="44">
        <f>-B29*$B$32*365/1000000</f>
        <v>-4.6634629495296425</v>
      </c>
      <c r="C37" s="44">
        <f t="shared" ref="C37:Q37" si="9">-C29*$B$32*365/1000000</f>
        <v>-4.9177439590503953</v>
      </c>
      <c r="D37" s="44">
        <f t="shared" si="9"/>
        <v>-4.4663370417591421</v>
      </c>
      <c r="E37" s="44">
        <f t="shared" si="9"/>
        <v>-4.5976153996943747</v>
      </c>
      <c r="F37" s="44">
        <f t="shared" si="9"/>
        <v>-4.6306010665178432</v>
      </c>
      <c r="G37" s="44">
        <f t="shared" si="9"/>
        <v>-4.1295995329132884</v>
      </c>
      <c r="H37" s="44">
        <f t="shared" si="9"/>
        <v>-4.4638414097557266</v>
      </c>
      <c r="I37" s="44">
        <f t="shared" si="9"/>
        <v>-4.6024128620303699</v>
      </c>
      <c r="J37" s="44">
        <f t="shared" ref="J37:N37" si="10">-J29*$B$32*365/1000000</f>
        <v>-4.4307367200049006</v>
      </c>
      <c r="K37" s="44">
        <f t="shared" si="10"/>
        <v>-4.4317231845352723</v>
      </c>
      <c r="L37" s="44">
        <f t="shared" si="10"/>
        <v>-4.6629194854294331</v>
      </c>
      <c r="M37" s="44">
        <f t="shared" si="10"/>
        <v>-4.29296098924645</v>
      </c>
      <c r="N37" s="44">
        <f t="shared" si="10"/>
        <v>-4.7010105956780714</v>
      </c>
      <c r="O37" s="44">
        <f t="shared" si="9"/>
        <v>-4.651193620708896</v>
      </c>
      <c r="P37" s="44">
        <f t="shared" si="9"/>
        <v>-4.1298477687638062</v>
      </c>
      <c r="Q37" s="44">
        <f t="shared" si="9"/>
        <v>0</v>
      </c>
      <c r="R37" s="11">
        <f>SUM(B37:Q37)</f>
        <v>-67.772006585617618</v>
      </c>
    </row>
    <row r="38" spans="1:18" x14ac:dyDescent="0.2">
      <c r="A38" s="45" t="s">
        <v>57</v>
      </c>
      <c r="B38" s="46">
        <f>IF(B30*$B$35-B31&lt;0,((B30*$B$35-B31)*$B$32-B30*$B$35*$B$33)/1000000,(-B31*$B$33+($B$35*B30-B31)*$B$34)/1000000)</f>
        <v>-2.5133197930437126</v>
      </c>
      <c r="C38" s="46">
        <f t="shared" ref="C38:Q38" si="11">IF(C30*$B$35-C31&lt;0,((C30*$B$35-C31)*$B$32-C30*$B$35*$B$33)/1000000,(-C31*$B$33+($B$35*C30-C31)*$B$34)/1000000)</f>
        <v>-2.7676008025644645</v>
      </c>
      <c r="D38" s="46">
        <f t="shared" si="11"/>
        <v>-2.3161938852732122</v>
      </c>
      <c r="E38" s="46">
        <f t="shared" si="11"/>
        <v>-2.4474722432084444</v>
      </c>
      <c r="F38" s="46">
        <f t="shared" si="11"/>
        <v>-2.4804579100319128</v>
      </c>
      <c r="G38" s="46">
        <f t="shared" si="11"/>
        <v>-1.9794563764273585</v>
      </c>
      <c r="H38" s="46">
        <f t="shared" si="11"/>
        <v>-2.3136982532697967</v>
      </c>
      <c r="I38" s="46">
        <f t="shared" si="11"/>
        <v>-2.45226970554444</v>
      </c>
      <c r="J38" s="46">
        <f t="shared" si="11"/>
        <v>-2.2805935635189702</v>
      </c>
      <c r="K38" s="46">
        <f t="shared" si="11"/>
        <v>-2.2815800280493419</v>
      </c>
      <c r="L38" s="46">
        <f t="shared" si="11"/>
        <v>-2.5127763289435023</v>
      </c>
      <c r="M38" s="46">
        <f t="shared" si="11"/>
        <v>-2.1428178327605196</v>
      </c>
      <c r="N38" s="46">
        <f t="shared" si="11"/>
        <v>-2.5508674391921411</v>
      </c>
      <c r="O38" s="46">
        <f t="shared" si="11"/>
        <v>-2.5010504642229647</v>
      </c>
      <c r="P38" s="46">
        <f t="shared" si="11"/>
        <v>-1.9797046122778761</v>
      </c>
      <c r="Q38" s="46">
        <f t="shared" si="11"/>
        <v>1.1232091115971277</v>
      </c>
      <c r="R38" s="11">
        <f t="shared" ref="R38:R39" si="12">SUM(B38:Q38)</f>
        <v>-34.396650126731537</v>
      </c>
    </row>
    <row r="39" spans="1:18" x14ac:dyDescent="0.2">
      <c r="A39" s="47" t="s">
        <v>26</v>
      </c>
      <c r="B39" s="48">
        <f>-B37+B38</f>
        <v>2.1501431564859299</v>
      </c>
      <c r="C39" s="48">
        <f t="shared" ref="C39:Q39" si="13">-C37+C38</f>
        <v>2.1501431564859308</v>
      </c>
      <c r="D39" s="48">
        <f t="shared" si="13"/>
        <v>2.1501431564859299</v>
      </c>
      <c r="E39" s="48">
        <f t="shared" si="13"/>
        <v>2.1501431564859304</v>
      </c>
      <c r="F39" s="48">
        <f t="shared" si="13"/>
        <v>2.1501431564859304</v>
      </c>
      <c r="G39" s="48">
        <f t="shared" si="13"/>
        <v>2.1501431564859299</v>
      </c>
      <c r="H39" s="48">
        <f t="shared" si="13"/>
        <v>2.1501431564859299</v>
      </c>
      <c r="I39" s="48">
        <f t="shared" si="13"/>
        <v>2.1501431564859299</v>
      </c>
      <c r="J39" s="48">
        <f t="shared" ref="J39" si="14">-J37+J38</f>
        <v>2.1501431564859304</v>
      </c>
      <c r="K39" s="48">
        <f t="shared" ref="K39" si="15">-K37+K38</f>
        <v>2.1501431564859304</v>
      </c>
      <c r="L39" s="48">
        <f t="shared" ref="L39" si="16">-L37+L38</f>
        <v>2.1501431564859308</v>
      </c>
      <c r="M39" s="48">
        <f t="shared" ref="M39" si="17">-M37+M38</f>
        <v>2.1501431564859304</v>
      </c>
      <c r="N39" s="48">
        <f t="shared" ref="N39" si="18">-N37+N38</f>
        <v>2.1501431564859304</v>
      </c>
      <c r="O39" s="48">
        <f t="shared" si="13"/>
        <v>2.1501431564859312</v>
      </c>
      <c r="P39" s="48">
        <f t="shared" si="13"/>
        <v>2.1501431564859299</v>
      </c>
      <c r="Q39" s="48">
        <f t="shared" si="13"/>
        <v>1.1232091115971277</v>
      </c>
      <c r="R39" s="30">
        <f t="shared" si="12"/>
        <v>33.375356458886088</v>
      </c>
    </row>
    <row r="40" spans="1:18" x14ac:dyDescent="0.2">
      <c r="A40" s="40" t="s">
        <v>25</v>
      </c>
      <c r="B40" s="41">
        <f>(-B38+B37)/B37</f>
        <v>0.46106148580054518</v>
      </c>
      <c r="C40" s="41">
        <f t="shared" ref="C40:Q40" si="19">(-C38+C37)/C37</f>
        <v>0.43722145243631561</v>
      </c>
      <c r="D40" s="41">
        <f t="shared" si="19"/>
        <v>0.48141086003645167</v>
      </c>
      <c r="E40" s="41">
        <f t="shared" si="19"/>
        <v>0.46766485875022529</v>
      </c>
      <c r="F40" s="41">
        <f t="shared" si="19"/>
        <v>0.46433349053383527</v>
      </c>
      <c r="G40" s="41">
        <f t="shared" si="19"/>
        <v>0.52066626299937591</v>
      </c>
      <c r="H40" s="41">
        <f t="shared" si="19"/>
        <v>0.48168000587717824</v>
      </c>
      <c r="I40" s="41">
        <f t="shared" si="19"/>
        <v>0.46717737433433709</v>
      </c>
      <c r="J40" s="41">
        <f t="shared" ref="J40:N40" si="20">(-J38+J37)/J37</f>
        <v>0.48527892591269839</v>
      </c>
      <c r="K40" s="41">
        <f t="shared" si="20"/>
        <v>0.48517090688086439</v>
      </c>
      <c r="L40" s="41">
        <f t="shared" si="20"/>
        <v>0.46111522259919796</v>
      </c>
      <c r="M40" s="41">
        <f t="shared" si="20"/>
        <v>0.50085317846397392</v>
      </c>
      <c r="N40" s="41">
        <f t="shared" si="20"/>
        <v>0.45737892155841753</v>
      </c>
      <c r="O40" s="41">
        <f t="shared" si="19"/>
        <v>0.46227771445864352</v>
      </c>
      <c r="P40" s="41">
        <f t="shared" si="19"/>
        <v>0.52063496692265143</v>
      </c>
      <c r="Q40" s="4"/>
      <c r="R40" s="32">
        <f>(-R38+R37)/R37</f>
        <v>0.49246522480815708</v>
      </c>
    </row>
    <row r="41" spans="1:18" x14ac:dyDescent="0.2">
      <c r="A41" t="s">
        <v>33</v>
      </c>
      <c r="B41" s="11">
        <f>1200*F33*4000/1000000</f>
        <v>240</v>
      </c>
      <c r="C41" t="s">
        <v>42</v>
      </c>
    </row>
    <row r="42" spans="1:18" x14ac:dyDescent="0.2">
      <c r="A42" t="s">
        <v>18</v>
      </c>
      <c r="B42" s="5">
        <v>0.05</v>
      </c>
    </row>
    <row r="43" spans="1:18" x14ac:dyDescent="0.2">
      <c r="A43" t="s">
        <v>19</v>
      </c>
      <c r="B43">
        <v>20</v>
      </c>
      <c r="C43" t="s">
        <v>20</v>
      </c>
    </row>
    <row r="44" spans="1:18" x14ac:dyDescent="0.2">
      <c r="A44" t="s">
        <v>41</v>
      </c>
      <c r="B44">
        <f>1/15</f>
        <v>6.6666666666666666E-2</v>
      </c>
      <c r="C44">
        <f t="shared" ref="C44:P44" si="21">1/15</f>
        <v>6.6666666666666666E-2</v>
      </c>
      <c r="D44">
        <f t="shared" si="21"/>
        <v>6.6666666666666666E-2</v>
      </c>
      <c r="E44">
        <f t="shared" si="21"/>
        <v>6.6666666666666666E-2</v>
      </c>
      <c r="F44">
        <f t="shared" si="21"/>
        <v>6.6666666666666666E-2</v>
      </c>
      <c r="G44">
        <f t="shared" si="21"/>
        <v>6.6666666666666666E-2</v>
      </c>
      <c r="H44">
        <f t="shared" si="21"/>
        <v>6.6666666666666666E-2</v>
      </c>
      <c r="I44">
        <f t="shared" si="21"/>
        <v>6.6666666666666666E-2</v>
      </c>
      <c r="J44">
        <f t="shared" si="21"/>
        <v>6.6666666666666666E-2</v>
      </c>
      <c r="K44">
        <f t="shared" si="21"/>
        <v>6.6666666666666666E-2</v>
      </c>
      <c r="L44">
        <f t="shared" si="21"/>
        <v>6.6666666666666666E-2</v>
      </c>
      <c r="M44">
        <f t="shared" si="21"/>
        <v>6.6666666666666666E-2</v>
      </c>
      <c r="N44">
        <f t="shared" si="21"/>
        <v>6.6666666666666666E-2</v>
      </c>
      <c r="O44">
        <f t="shared" si="21"/>
        <v>6.6666666666666666E-2</v>
      </c>
      <c r="P44">
        <f t="shared" si="21"/>
        <v>6.6666666666666666E-2</v>
      </c>
    </row>
    <row r="46" spans="1:18" x14ac:dyDescent="0.2">
      <c r="A46" t="s">
        <v>27</v>
      </c>
      <c r="B46" s="24">
        <f>B49+NPV($B$42,B50:B69)</f>
        <v>10.795536282700517</v>
      </c>
      <c r="C46" s="24">
        <f t="shared" ref="C46:P46" si="22">C49+NPV($B$42,C50:C69)</f>
        <v>10.795536282700528</v>
      </c>
      <c r="D46" s="24">
        <f t="shared" si="22"/>
        <v>10.795536282700517</v>
      </c>
      <c r="E46" s="24">
        <f t="shared" si="22"/>
        <v>10.795536282700525</v>
      </c>
      <c r="F46" s="24">
        <f t="shared" si="22"/>
        <v>10.795536282700525</v>
      </c>
      <c r="G46" s="24">
        <f t="shared" si="22"/>
        <v>10.795536282700517</v>
      </c>
      <c r="H46" s="24">
        <f t="shared" si="22"/>
        <v>10.795536282700517</v>
      </c>
      <c r="I46" s="24">
        <f t="shared" si="22"/>
        <v>10.795536282700517</v>
      </c>
      <c r="J46" s="24">
        <f t="shared" ref="J46:N46" si="23">J49+NPV($B$42,J50:J69)</f>
        <v>10.795536282700525</v>
      </c>
      <c r="K46" s="24">
        <f t="shared" si="23"/>
        <v>10.795536282700525</v>
      </c>
      <c r="L46" s="24">
        <f t="shared" si="23"/>
        <v>10.795536282700528</v>
      </c>
      <c r="M46" s="24">
        <f t="shared" si="23"/>
        <v>10.795536282700525</v>
      </c>
      <c r="N46" s="24">
        <f t="shared" si="23"/>
        <v>10.795536282700525</v>
      </c>
      <c r="O46" s="24">
        <f t="shared" si="22"/>
        <v>10.795536282700535</v>
      </c>
      <c r="P46" s="24">
        <f t="shared" si="22"/>
        <v>10.795536282700517</v>
      </c>
      <c r="Q46" s="24"/>
      <c r="R46" t="s">
        <v>21</v>
      </c>
    </row>
    <row r="47" spans="1:18" x14ac:dyDescent="0.2">
      <c r="A47" s="6" t="s">
        <v>29</v>
      </c>
      <c r="B47" s="7">
        <f>NPER($B$42,B50,B49)</f>
        <v>9.5372459508302558</v>
      </c>
      <c r="C47" s="7">
        <f t="shared" ref="C47:P47" si="24">NPER($B$42,C50,C49)</f>
        <v>9.5372459508302541</v>
      </c>
      <c r="D47" s="7">
        <f t="shared" si="24"/>
        <v>9.5372459508302558</v>
      </c>
      <c r="E47" s="7">
        <f t="shared" si="24"/>
        <v>9.5372459508302541</v>
      </c>
      <c r="F47" s="7">
        <f t="shared" si="24"/>
        <v>9.5372459508302541</v>
      </c>
      <c r="G47" s="7">
        <f t="shared" si="24"/>
        <v>9.5372459508302558</v>
      </c>
      <c r="H47" s="7">
        <f t="shared" si="24"/>
        <v>9.5372459508302558</v>
      </c>
      <c r="I47" s="7">
        <f t="shared" si="24"/>
        <v>9.5372459508302558</v>
      </c>
      <c r="J47" s="7">
        <f t="shared" ref="J47:N47" si="25">NPER($B$42,J50,J49)</f>
        <v>9.5372459508302541</v>
      </c>
      <c r="K47" s="7">
        <f t="shared" si="25"/>
        <v>9.5372459508302541</v>
      </c>
      <c r="L47" s="7">
        <f t="shared" si="25"/>
        <v>9.5372459508302541</v>
      </c>
      <c r="M47" s="7">
        <f t="shared" si="25"/>
        <v>9.5372459508302541</v>
      </c>
      <c r="N47" s="7">
        <f t="shared" si="25"/>
        <v>9.5372459508302541</v>
      </c>
      <c r="O47" s="7">
        <f t="shared" si="24"/>
        <v>9.5372459508302505</v>
      </c>
      <c r="P47" s="7">
        <f t="shared" si="24"/>
        <v>9.5372459508302558</v>
      </c>
      <c r="Q47" s="7"/>
      <c r="R47" s="6" t="s">
        <v>30</v>
      </c>
    </row>
    <row r="48" spans="1:18" x14ac:dyDescent="0.2">
      <c r="A48" s="6" t="s">
        <v>28</v>
      </c>
      <c r="B48" s="8">
        <f>IRR(B49:B69)</f>
        <v>0.12060162355627502</v>
      </c>
      <c r="C48" s="8">
        <f t="shared" ref="C48:P48" si="26">IRR(C49:C69)</f>
        <v>0.12060162355627502</v>
      </c>
      <c r="D48" s="8">
        <f t="shared" si="26"/>
        <v>0.12060162355627502</v>
      </c>
      <c r="E48" s="8">
        <f t="shared" si="26"/>
        <v>0.1206016235562748</v>
      </c>
      <c r="F48" s="8">
        <f t="shared" si="26"/>
        <v>0.1206016235562748</v>
      </c>
      <c r="G48" s="8">
        <f t="shared" si="26"/>
        <v>0.12060162355627502</v>
      </c>
      <c r="H48" s="8">
        <f t="shared" si="26"/>
        <v>0.12060162355627502</v>
      </c>
      <c r="I48" s="8">
        <f t="shared" si="26"/>
        <v>0.12060162355627502</v>
      </c>
      <c r="J48" s="8">
        <f t="shared" ref="J48" si="27">IRR(J49:J69)</f>
        <v>0.1206016235562748</v>
      </c>
      <c r="K48" s="8">
        <f t="shared" ref="K48" si="28">IRR(K49:K69)</f>
        <v>0.1206016235562748</v>
      </c>
      <c r="L48" s="8">
        <f t="shared" ref="L48" si="29">IRR(L49:L69)</f>
        <v>0.12060162355627502</v>
      </c>
      <c r="M48" s="8">
        <f t="shared" ref="M48" si="30">IRR(M49:M69)</f>
        <v>0.1206016235562748</v>
      </c>
      <c r="N48" s="8">
        <f t="shared" ref="N48" si="31">IRR(N49:N69)</f>
        <v>0.1206016235562748</v>
      </c>
      <c r="O48" s="8">
        <f t="shared" si="26"/>
        <v>0.12060162355627502</v>
      </c>
      <c r="P48" s="8">
        <f t="shared" si="26"/>
        <v>0.12060162355627502</v>
      </c>
      <c r="Q48" s="8"/>
    </row>
    <row r="49" spans="1:18" x14ac:dyDescent="0.2">
      <c r="A49" s="25" t="s">
        <v>43</v>
      </c>
      <c r="B49">
        <f>-$B$41*B44</f>
        <v>-16</v>
      </c>
      <c r="C49">
        <f t="shared" ref="C49:P49" si="32">-$B$41*C44</f>
        <v>-16</v>
      </c>
      <c r="D49">
        <f t="shared" si="32"/>
        <v>-16</v>
      </c>
      <c r="E49">
        <f t="shared" si="32"/>
        <v>-16</v>
      </c>
      <c r="F49">
        <f t="shared" si="32"/>
        <v>-16</v>
      </c>
      <c r="G49">
        <f t="shared" si="32"/>
        <v>-16</v>
      </c>
      <c r="H49">
        <f t="shared" si="32"/>
        <v>-16</v>
      </c>
      <c r="I49">
        <f t="shared" si="32"/>
        <v>-16</v>
      </c>
      <c r="J49">
        <f t="shared" ref="J49:N49" si="33">-$B$41*J44</f>
        <v>-16</v>
      </c>
      <c r="K49">
        <f t="shared" si="33"/>
        <v>-16</v>
      </c>
      <c r="L49">
        <f t="shared" si="33"/>
        <v>-16</v>
      </c>
      <c r="M49">
        <f t="shared" si="33"/>
        <v>-16</v>
      </c>
      <c r="N49">
        <f t="shared" si="33"/>
        <v>-16</v>
      </c>
      <c r="O49">
        <f t="shared" si="32"/>
        <v>-16</v>
      </c>
      <c r="P49">
        <f t="shared" si="32"/>
        <v>-16</v>
      </c>
      <c r="R49" t="s">
        <v>21</v>
      </c>
    </row>
    <row r="50" spans="1:18" x14ac:dyDescent="0.2">
      <c r="A50">
        <v>1</v>
      </c>
      <c r="B50">
        <f>B39</f>
        <v>2.1501431564859299</v>
      </c>
      <c r="C50">
        <f t="shared" ref="C50:P50" si="34">C39</f>
        <v>2.1501431564859308</v>
      </c>
      <c r="D50">
        <f t="shared" si="34"/>
        <v>2.1501431564859299</v>
      </c>
      <c r="E50">
        <f t="shared" si="34"/>
        <v>2.1501431564859304</v>
      </c>
      <c r="F50">
        <f t="shared" si="34"/>
        <v>2.1501431564859304</v>
      </c>
      <c r="G50">
        <f t="shared" si="34"/>
        <v>2.1501431564859299</v>
      </c>
      <c r="H50">
        <f t="shared" si="34"/>
        <v>2.1501431564859299</v>
      </c>
      <c r="I50">
        <f t="shared" si="34"/>
        <v>2.1501431564859299</v>
      </c>
      <c r="J50">
        <f t="shared" ref="J50:N50" si="35">J39</f>
        <v>2.1501431564859304</v>
      </c>
      <c r="K50">
        <f t="shared" si="35"/>
        <v>2.1501431564859304</v>
      </c>
      <c r="L50">
        <f t="shared" si="35"/>
        <v>2.1501431564859308</v>
      </c>
      <c r="M50">
        <f t="shared" si="35"/>
        <v>2.1501431564859304</v>
      </c>
      <c r="N50">
        <f t="shared" si="35"/>
        <v>2.1501431564859304</v>
      </c>
      <c r="O50">
        <f t="shared" si="34"/>
        <v>2.1501431564859312</v>
      </c>
      <c r="P50">
        <f t="shared" si="34"/>
        <v>2.1501431564859299</v>
      </c>
      <c r="R50" t="s">
        <v>21</v>
      </c>
    </row>
    <row r="51" spans="1:18" x14ac:dyDescent="0.2">
      <c r="A51">
        <v>2</v>
      </c>
      <c r="B51">
        <f>B50</f>
        <v>2.1501431564859299</v>
      </c>
      <c r="C51">
        <f t="shared" ref="C51:P66" si="36">C50</f>
        <v>2.1501431564859308</v>
      </c>
      <c r="D51">
        <f t="shared" si="36"/>
        <v>2.1501431564859299</v>
      </c>
      <c r="E51">
        <f t="shared" si="36"/>
        <v>2.1501431564859304</v>
      </c>
      <c r="F51">
        <f t="shared" si="36"/>
        <v>2.1501431564859304</v>
      </c>
      <c r="G51">
        <f t="shared" si="36"/>
        <v>2.1501431564859299</v>
      </c>
      <c r="H51">
        <f t="shared" si="36"/>
        <v>2.1501431564859299</v>
      </c>
      <c r="I51">
        <f t="shared" si="36"/>
        <v>2.1501431564859299</v>
      </c>
      <c r="J51">
        <f t="shared" ref="J51:J69" si="37">J50</f>
        <v>2.1501431564859304</v>
      </c>
      <c r="K51">
        <f t="shared" ref="K51:K69" si="38">K50</f>
        <v>2.1501431564859304</v>
      </c>
      <c r="L51">
        <f t="shared" ref="L51:L69" si="39">L50</f>
        <v>2.1501431564859308</v>
      </c>
      <c r="M51">
        <f t="shared" ref="M51:M69" si="40">M50</f>
        <v>2.1501431564859304</v>
      </c>
      <c r="N51">
        <f t="shared" ref="N51:N69" si="41">N50</f>
        <v>2.1501431564859304</v>
      </c>
      <c r="O51">
        <f t="shared" si="36"/>
        <v>2.1501431564859312</v>
      </c>
      <c r="P51">
        <f t="shared" si="36"/>
        <v>2.1501431564859299</v>
      </c>
      <c r="R51" t="s">
        <v>21</v>
      </c>
    </row>
    <row r="52" spans="1:18" x14ac:dyDescent="0.2">
      <c r="A52">
        <v>3</v>
      </c>
      <c r="B52">
        <f t="shared" ref="B52:B69" si="42">B51</f>
        <v>2.1501431564859299</v>
      </c>
      <c r="C52">
        <f t="shared" si="36"/>
        <v>2.1501431564859308</v>
      </c>
      <c r="D52">
        <f t="shared" si="36"/>
        <v>2.1501431564859299</v>
      </c>
      <c r="E52">
        <f t="shared" si="36"/>
        <v>2.1501431564859304</v>
      </c>
      <c r="F52">
        <f t="shared" si="36"/>
        <v>2.1501431564859304</v>
      </c>
      <c r="G52">
        <f t="shared" si="36"/>
        <v>2.1501431564859299</v>
      </c>
      <c r="H52">
        <f t="shared" si="36"/>
        <v>2.1501431564859299</v>
      </c>
      <c r="I52">
        <f t="shared" si="36"/>
        <v>2.1501431564859299</v>
      </c>
      <c r="J52">
        <f t="shared" si="37"/>
        <v>2.1501431564859304</v>
      </c>
      <c r="K52">
        <f t="shared" si="38"/>
        <v>2.1501431564859304</v>
      </c>
      <c r="L52">
        <f t="shared" si="39"/>
        <v>2.1501431564859308</v>
      </c>
      <c r="M52">
        <f t="shared" si="40"/>
        <v>2.1501431564859304</v>
      </c>
      <c r="N52">
        <f t="shared" si="41"/>
        <v>2.1501431564859304</v>
      </c>
      <c r="O52">
        <f t="shared" si="36"/>
        <v>2.1501431564859312</v>
      </c>
      <c r="P52">
        <f t="shared" si="36"/>
        <v>2.1501431564859299</v>
      </c>
      <c r="R52" t="s">
        <v>21</v>
      </c>
    </row>
    <row r="53" spans="1:18" x14ac:dyDescent="0.2">
      <c r="A53">
        <v>4</v>
      </c>
      <c r="B53">
        <f t="shared" si="42"/>
        <v>2.1501431564859299</v>
      </c>
      <c r="C53">
        <f t="shared" si="36"/>
        <v>2.1501431564859308</v>
      </c>
      <c r="D53">
        <f t="shared" si="36"/>
        <v>2.1501431564859299</v>
      </c>
      <c r="E53">
        <f t="shared" si="36"/>
        <v>2.1501431564859304</v>
      </c>
      <c r="F53">
        <f t="shared" si="36"/>
        <v>2.1501431564859304</v>
      </c>
      <c r="G53">
        <f t="shared" si="36"/>
        <v>2.1501431564859299</v>
      </c>
      <c r="H53">
        <f t="shared" si="36"/>
        <v>2.1501431564859299</v>
      </c>
      <c r="I53">
        <f t="shared" si="36"/>
        <v>2.1501431564859299</v>
      </c>
      <c r="J53">
        <f t="shared" si="37"/>
        <v>2.1501431564859304</v>
      </c>
      <c r="K53">
        <f t="shared" si="38"/>
        <v>2.1501431564859304</v>
      </c>
      <c r="L53">
        <f t="shared" si="39"/>
        <v>2.1501431564859308</v>
      </c>
      <c r="M53">
        <f t="shared" si="40"/>
        <v>2.1501431564859304</v>
      </c>
      <c r="N53">
        <f t="shared" si="41"/>
        <v>2.1501431564859304</v>
      </c>
      <c r="O53">
        <f t="shared" si="36"/>
        <v>2.1501431564859312</v>
      </c>
      <c r="P53">
        <f t="shared" si="36"/>
        <v>2.1501431564859299</v>
      </c>
      <c r="R53" t="s">
        <v>21</v>
      </c>
    </row>
    <row r="54" spans="1:18" x14ac:dyDescent="0.2">
      <c r="A54">
        <v>5</v>
      </c>
      <c r="B54">
        <f t="shared" si="42"/>
        <v>2.1501431564859299</v>
      </c>
      <c r="C54">
        <f t="shared" si="36"/>
        <v>2.1501431564859308</v>
      </c>
      <c r="D54">
        <f t="shared" si="36"/>
        <v>2.1501431564859299</v>
      </c>
      <c r="E54">
        <f t="shared" si="36"/>
        <v>2.1501431564859304</v>
      </c>
      <c r="F54">
        <f t="shared" si="36"/>
        <v>2.1501431564859304</v>
      </c>
      <c r="G54">
        <f t="shared" si="36"/>
        <v>2.1501431564859299</v>
      </c>
      <c r="H54">
        <f t="shared" si="36"/>
        <v>2.1501431564859299</v>
      </c>
      <c r="I54">
        <f t="shared" si="36"/>
        <v>2.1501431564859299</v>
      </c>
      <c r="J54">
        <f t="shared" si="37"/>
        <v>2.1501431564859304</v>
      </c>
      <c r="K54">
        <f t="shared" si="38"/>
        <v>2.1501431564859304</v>
      </c>
      <c r="L54">
        <f t="shared" si="39"/>
        <v>2.1501431564859308</v>
      </c>
      <c r="M54">
        <f t="shared" si="40"/>
        <v>2.1501431564859304</v>
      </c>
      <c r="N54">
        <f t="shared" si="41"/>
        <v>2.1501431564859304</v>
      </c>
      <c r="O54">
        <f t="shared" si="36"/>
        <v>2.1501431564859312</v>
      </c>
      <c r="P54">
        <f t="shared" si="36"/>
        <v>2.1501431564859299</v>
      </c>
      <c r="R54" t="s">
        <v>21</v>
      </c>
    </row>
    <row r="55" spans="1:18" x14ac:dyDescent="0.2">
      <c r="A55">
        <v>6</v>
      </c>
      <c r="B55">
        <f t="shared" si="42"/>
        <v>2.1501431564859299</v>
      </c>
      <c r="C55">
        <f t="shared" si="36"/>
        <v>2.1501431564859308</v>
      </c>
      <c r="D55">
        <f t="shared" si="36"/>
        <v>2.1501431564859299</v>
      </c>
      <c r="E55">
        <f t="shared" si="36"/>
        <v>2.1501431564859304</v>
      </c>
      <c r="F55">
        <f t="shared" si="36"/>
        <v>2.1501431564859304</v>
      </c>
      <c r="G55">
        <f t="shared" si="36"/>
        <v>2.1501431564859299</v>
      </c>
      <c r="H55">
        <f t="shared" si="36"/>
        <v>2.1501431564859299</v>
      </c>
      <c r="I55">
        <f t="shared" si="36"/>
        <v>2.1501431564859299</v>
      </c>
      <c r="J55">
        <f t="shared" si="37"/>
        <v>2.1501431564859304</v>
      </c>
      <c r="K55">
        <f t="shared" si="38"/>
        <v>2.1501431564859304</v>
      </c>
      <c r="L55">
        <f t="shared" si="39"/>
        <v>2.1501431564859308</v>
      </c>
      <c r="M55">
        <f t="shared" si="40"/>
        <v>2.1501431564859304</v>
      </c>
      <c r="N55">
        <f t="shared" si="41"/>
        <v>2.1501431564859304</v>
      </c>
      <c r="O55">
        <f t="shared" si="36"/>
        <v>2.1501431564859312</v>
      </c>
      <c r="P55">
        <f t="shared" si="36"/>
        <v>2.1501431564859299</v>
      </c>
      <c r="R55" t="s">
        <v>21</v>
      </c>
    </row>
    <row r="56" spans="1:18" x14ac:dyDescent="0.2">
      <c r="A56">
        <v>7</v>
      </c>
      <c r="B56">
        <f t="shared" si="42"/>
        <v>2.1501431564859299</v>
      </c>
      <c r="C56">
        <f t="shared" si="36"/>
        <v>2.1501431564859308</v>
      </c>
      <c r="D56">
        <f t="shared" si="36"/>
        <v>2.1501431564859299</v>
      </c>
      <c r="E56">
        <f t="shared" si="36"/>
        <v>2.1501431564859304</v>
      </c>
      <c r="F56">
        <f t="shared" si="36"/>
        <v>2.1501431564859304</v>
      </c>
      <c r="G56">
        <f t="shared" si="36"/>
        <v>2.1501431564859299</v>
      </c>
      <c r="H56">
        <f t="shared" si="36"/>
        <v>2.1501431564859299</v>
      </c>
      <c r="I56">
        <f t="shared" si="36"/>
        <v>2.1501431564859299</v>
      </c>
      <c r="J56">
        <f t="shared" si="37"/>
        <v>2.1501431564859304</v>
      </c>
      <c r="K56">
        <f t="shared" si="38"/>
        <v>2.1501431564859304</v>
      </c>
      <c r="L56">
        <f t="shared" si="39"/>
        <v>2.1501431564859308</v>
      </c>
      <c r="M56">
        <f t="shared" si="40"/>
        <v>2.1501431564859304</v>
      </c>
      <c r="N56">
        <f t="shared" si="41"/>
        <v>2.1501431564859304</v>
      </c>
      <c r="O56">
        <f t="shared" si="36"/>
        <v>2.1501431564859312</v>
      </c>
      <c r="P56">
        <f t="shared" si="36"/>
        <v>2.1501431564859299</v>
      </c>
      <c r="R56" t="s">
        <v>21</v>
      </c>
    </row>
    <row r="57" spans="1:18" x14ac:dyDescent="0.2">
      <c r="A57">
        <v>8</v>
      </c>
      <c r="B57">
        <f t="shared" si="42"/>
        <v>2.1501431564859299</v>
      </c>
      <c r="C57">
        <f t="shared" si="36"/>
        <v>2.1501431564859308</v>
      </c>
      <c r="D57">
        <f t="shared" si="36"/>
        <v>2.1501431564859299</v>
      </c>
      <c r="E57">
        <f t="shared" si="36"/>
        <v>2.1501431564859304</v>
      </c>
      <c r="F57">
        <f t="shared" si="36"/>
        <v>2.1501431564859304</v>
      </c>
      <c r="G57">
        <f t="shared" si="36"/>
        <v>2.1501431564859299</v>
      </c>
      <c r="H57">
        <f t="shared" si="36"/>
        <v>2.1501431564859299</v>
      </c>
      <c r="I57">
        <f t="shared" si="36"/>
        <v>2.1501431564859299</v>
      </c>
      <c r="J57">
        <f t="shared" si="37"/>
        <v>2.1501431564859304</v>
      </c>
      <c r="K57">
        <f t="shared" si="38"/>
        <v>2.1501431564859304</v>
      </c>
      <c r="L57">
        <f t="shared" si="39"/>
        <v>2.1501431564859308</v>
      </c>
      <c r="M57">
        <f t="shared" si="40"/>
        <v>2.1501431564859304</v>
      </c>
      <c r="N57">
        <f t="shared" si="41"/>
        <v>2.1501431564859304</v>
      </c>
      <c r="O57">
        <f t="shared" si="36"/>
        <v>2.1501431564859312</v>
      </c>
      <c r="P57">
        <f t="shared" si="36"/>
        <v>2.1501431564859299</v>
      </c>
      <c r="R57" t="s">
        <v>21</v>
      </c>
    </row>
    <row r="58" spans="1:18" x14ac:dyDescent="0.2">
      <c r="A58">
        <v>9</v>
      </c>
      <c r="B58">
        <f t="shared" si="42"/>
        <v>2.1501431564859299</v>
      </c>
      <c r="C58">
        <f t="shared" si="36"/>
        <v>2.1501431564859308</v>
      </c>
      <c r="D58">
        <f t="shared" si="36"/>
        <v>2.1501431564859299</v>
      </c>
      <c r="E58">
        <f t="shared" si="36"/>
        <v>2.1501431564859304</v>
      </c>
      <c r="F58">
        <f t="shared" si="36"/>
        <v>2.1501431564859304</v>
      </c>
      <c r="G58">
        <f t="shared" si="36"/>
        <v>2.1501431564859299</v>
      </c>
      <c r="H58">
        <f t="shared" si="36"/>
        <v>2.1501431564859299</v>
      </c>
      <c r="I58">
        <f t="shared" si="36"/>
        <v>2.1501431564859299</v>
      </c>
      <c r="J58">
        <f t="shared" si="37"/>
        <v>2.1501431564859304</v>
      </c>
      <c r="K58">
        <f t="shared" si="38"/>
        <v>2.1501431564859304</v>
      </c>
      <c r="L58">
        <f t="shared" si="39"/>
        <v>2.1501431564859308</v>
      </c>
      <c r="M58">
        <f t="shared" si="40"/>
        <v>2.1501431564859304</v>
      </c>
      <c r="N58">
        <f t="shared" si="41"/>
        <v>2.1501431564859304</v>
      </c>
      <c r="O58">
        <f t="shared" si="36"/>
        <v>2.1501431564859312</v>
      </c>
      <c r="P58">
        <f t="shared" si="36"/>
        <v>2.1501431564859299</v>
      </c>
      <c r="R58" t="s">
        <v>21</v>
      </c>
    </row>
    <row r="59" spans="1:18" x14ac:dyDescent="0.2">
      <c r="A59">
        <v>10</v>
      </c>
      <c r="B59">
        <f t="shared" si="42"/>
        <v>2.1501431564859299</v>
      </c>
      <c r="C59">
        <f t="shared" si="36"/>
        <v>2.1501431564859308</v>
      </c>
      <c r="D59">
        <f t="shared" si="36"/>
        <v>2.1501431564859299</v>
      </c>
      <c r="E59">
        <f t="shared" si="36"/>
        <v>2.1501431564859304</v>
      </c>
      <c r="F59">
        <f t="shared" si="36"/>
        <v>2.1501431564859304</v>
      </c>
      <c r="G59">
        <f t="shared" si="36"/>
        <v>2.1501431564859299</v>
      </c>
      <c r="H59">
        <f t="shared" si="36"/>
        <v>2.1501431564859299</v>
      </c>
      <c r="I59">
        <f t="shared" si="36"/>
        <v>2.1501431564859299</v>
      </c>
      <c r="J59">
        <f t="shared" si="37"/>
        <v>2.1501431564859304</v>
      </c>
      <c r="K59">
        <f t="shared" si="38"/>
        <v>2.1501431564859304</v>
      </c>
      <c r="L59">
        <f t="shared" si="39"/>
        <v>2.1501431564859308</v>
      </c>
      <c r="M59">
        <f t="shared" si="40"/>
        <v>2.1501431564859304</v>
      </c>
      <c r="N59">
        <f t="shared" si="41"/>
        <v>2.1501431564859304</v>
      </c>
      <c r="O59">
        <f t="shared" si="36"/>
        <v>2.1501431564859312</v>
      </c>
      <c r="P59">
        <f t="shared" si="36"/>
        <v>2.1501431564859299</v>
      </c>
      <c r="R59" t="s">
        <v>21</v>
      </c>
    </row>
    <row r="60" spans="1:18" x14ac:dyDescent="0.2">
      <c r="A60">
        <v>11</v>
      </c>
      <c r="B60">
        <f t="shared" si="42"/>
        <v>2.1501431564859299</v>
      </c>
      <c r="C60">
        <f t="shared" si="36"/>
        <v>2.1501431564859308</v>
      </c>
      <c r="D60">
        <f t="shared" si="36"/>
        <v>2.1501431564859299</v>
      </c>
      <c r="E60">
        <f t="shared" si="36"/>
        <v>2.1501431564859304</v>
      </c>
      <c r="F60">
        <f t="shared" si="36"/>
        <v>2.1501431564859304</v>
      </c>
      <c r="G60">
        <f t="shared" si="36"/>
        <v>2.1501431564859299</v>
      </c>
      <c r="H60">
        <f t="shared" si="36"/>
        <v>2.1501431564859299</v>
      </c>
      <c r="I60">
        <f t="shared" si="36"/>
        <v>2.1501431564859299</v>
      </c>
      <c r="J60">
        <f t="shared" si="37"/>
        <v>2.1501431564859304</v>
      </c>
      <c r="K60">
        <f t="shared" si="38"/>
        <v>2.1501431564859304</v>
      </c>
      <c r="L60">
        <f t="shared" si="39"/>
        <v>2.1501431564859308</v>
      </c>
      <c r="M60">
        <f t="shared" si="40"/>
        <v>2.1501431564859304</v>
      </c>
      <c r="N60">
        <f t="shared" si="41"/>
        <v>2.1501431564859304</v>
      </c>
      <c r="O60">
        <f t="shared" si="36"/>
        <v>2.1501431564859312</v>
      </c>
      <c r="P60">
        <f t="shared" si="36"/>
        <v>2.1501431564859299</v>
      </c>
      <c r="R60" t="s">
        <v>21</v>
      </c>
    </row>
    <row r="61" spans="1:18" x14ac:dyDescent="0.2">
      <c r="A61">
        <v>12</v>
      </c>
      <c r="B61">
        <f t="shared" si="42"/>
        <v>2.1501431564859299</v>
      </c>
      <c r="C61">
        <f t="shared" si="36"/>
        <v>2.1501431564859308</v>
      </c>
      <c r="D61">
        <f t="shared" si="36"/>
        <v>2.1501431564859299</v>
      </c>
      <c r="E61">
        <f t="shared" si="36"/>
        <v>2.1501431564859304</v>
      </c>
      <c r="F61">
        <f t="shared" si="36"/>
        <v>2.1501431564859304</v>
      </c>
      <c r="G61">
        <f t="shared" si="36"/>
        <v>2.1501431564859299</v>
      </c>
      <c r="H61">
        <f t="shared" si="36"/>
        <v>2.1501431564859299</v>
      </c>
      <c r="I61">
        <f t="shared" si="36"/>
        <v>2.1501431564859299</v>
      </c>
      <c r="J61">
        <f t="shared" si="37"/>
        <v>2.1501431564859304</v>
      </c>
      <c r="K61">
        <f t="shared" si="38"/>
        <v>2.1501431564859304</v>
      </c>
      <c r="L61">
        <f t="shared" si="39"/>
        <v>2.1501431564859308</v>
      </c>
      <c r="M61">
        <f t="shared" si="40"/>
        <v>2.1501431564859304</v>
      </c>
      <c r="N61">
        <f t="shared" si="41"/>
        <v>2.1501431564859304</v>
      </c>
      <c r="O61">
        <f t="shared" si="36"/>
        <v>2.1501431564859312</v>
      </c>
      <c r="P61">
        <f t="shared" si="36"/>
        <v>2.1501431564859299</v>
      </c>
      <c r="R61" t="s">
        <v>21</v>
      </c>
    </row>
    <row r="62" spans="1:18" x14ac:dyDescent="0.2">
      <c r="A62">
        <v>13</v>
      </c>
      <c r="B62">
        <f t="shared" si="42"/>
        <v>2.1501431564859299</v>
      </c>
      <c r="C62">
        <f t="shared" si="36"/>
        <v>2.1501431564859308</v>
      </c>
      <c r="D62">
        <f t="shared" si="36"/>
        <v>2.1501431564859299</v>
      </c>
      <c r="E62">
        <f t="shared" si="36"/>
        <v>2.1501431564859304</v>
      </c>
      <c r="F62">
        <f t="shared" si="36"/>
        <v>2.1501431564859304</v>
      </c>
      <c r="G62">
        <f t="shared" si="36"/>
        <v>2.1501431564859299</v>
      </c>
      <c r="H62">
        <f t="shared" si="36"/>
        <v>2.1501431564859299</v>
      </c>
      <c r="I62">
        <f t="shared" si="36"/>
        <v>2.1501431564859299</v>
      </c>
      <c r="J62">
        <f t="shared" si="37"/>
        <v>2.1501431564859304</v>
      </c>
      <c r="K62">
        <f t="shared" si="38"/>
        <v>2.1501431564859304</v>
      </c>
      <c r="L62">
        <f t="shared" si="39"/>
        <v>2.1501431564859308</v>
      </c>
      <c r="M62">
        <f t="shared" si="40"/>
        <v>2.1501431564859304</v>
      </c>
      <c r="N62">
        <f t="shared" si="41"/>
        <v>2.1501431564859304</v>
      </c>
      <c r="O62">
        <f t="shared" si="36"/>
        <v>2.1501431564859312</v>
      </c>
      <c r="P62">
        <f t="shared" si="36"/>
        <v>2.1501431564859299</v>
      </c>
      <c r="R62" t="s">
        <v>21</v>
      </c>
    </row>
    <row r="63" spans="1:18" x14ac:dyDescent="0.2">
      <c r="A63">
        <v>14</v>
      </c>
      <c r="B63">
        <f t="shared" si="42"/>
        <v>2.1501431564859299</v>
      </c>
      <c r="C63">
        <f t="shared" si="36"/>
        <v>2.1501431564859308</v>
      </c>
      <c r="D63">
        <f t="shared" si="36"/>
        <v>2.1501431564859299</v>
      </c>
      <c r="E63">
        <f t="shared" si="36"/>
        <v>2.1501431564859304</v>
      </c>
      <c r="F63">
        <f t="shared" si="36"/>
        <v>2.1501431564859304</v>
      </c>
      <c r="G63">
        <f t="shared" si="36"/>
        <v>2.1501431564859299</v>
      </c>
      <c r="H63">
        <f t="shared" si="36"/>
        <v>2.1501431564859299</v>
      </c>
      <c r="I63">
        <f t="shared" si="36"/>
        <v>2.1501431564859299</v>
      </c>
      <c r="J63">
        <f t="shared" si="37"/>
        <v>2.1501431564859304</v>
      </c>
      <c r="K63">
        <f t="shared" si="38"/>
        <v>2.1501431564859304</v>
      </c>
      <c r="L63">
        <f t="shared" si="39"/>
        <v>2.1501431564859308</v>
      </c>
      <c r="M63">
        <f t="shared" si="40"/>
        <v>2.1501431564859304</v>
      </c>
      <c r="N63">
        <f t="shared" si="41"/>
        <v>2.1501431564859304</v>
      </c>
      <c r="O63">
        <f t="shared" si="36"/>
        <v>2.1501431564859312</v>
      </c>
      <c r="P63">
        <f t="shared" si="36"/>
        <v>2.1501431564859299</v>
      </c>
      <c r="R63" t="s">
        <v>21</v>
      </c>
    </row>
    <row r="64" spans="1:18" x14ac:dyDescent="0.2">
      <c r="A64">
        <v>15</v>
      </c>
      <c r="B64">
        <f t="shared" si="42"/>
        <v>2.1501431564859299</v>
      </c>
      <c r="C64">
        <f t="shared" si="36"/>
        <v>2.1501431564859308</v>
      </c>
      <c r="D64">
        <f t="shared" si="36"/>
        <v>2.1501431564859299</v>
      </c>
      <c r="E64">
        <f t="shared" si="36"/>
        <v>2.1501431564859304</v>
      </c>
      <c r="F64">
        <f t="shared" si="36"/>
        <v>2.1501431564859304</v>
      </c>
      <c r="G64">
        <f t="shared" si="36"/>
        <v>2.1501431564859299</v>
      </c>
      <c r="H64">
        <f t="shared" si="36"/>
        <v>2.1501431564859299</v>
      </c>
      <c r="I64">
        <f t="shared" si="36"/>
        <v>2.1501431564859299</v>
      </c>
      <c r="J64">
        <f t="shared" si="37"/>
        <v>2.1501431564859304</v>
      </c>
      <c r="K64">
        <f t="shared" si="38"/>
        <v>2.1501431564859304</v>
      </c>
      <c r="L64">
        <f t="shared" si="39"/>
        <v>2.1501431564859308</v>
      </c>
      <c r="M64">
        <f t="shared" si="40"/>
        <v>2.1501431564859304</v>
      </c>
      <c r="N64">
        <f t="shared" si="41"/>
        <v>2.1501431564859304</v>
      </c>
      <c r="O64">
        <f t="shared" si="36"/>
        <v>2.1501431564859312</v>
      </c>
      <c r="P64">
        <f t="shared" si="36"/>
        <v>2.1501431564859299</v>
      </c>
      <c r="R64" t="s">
        <v>21</v>
      </c>
    </row>
    <row r="65" spans="1:18" x14ac:dyDescent="0.2">
      <c r="A65">
        <v>16</v>
      </c>
      <c r="B65">
        <f t="shared" si="42"/>
        <v>2.1501431564859299</v>
      </c>
      <c r="C65">
        <f t="shared" si="36"/>
        <v>2.1501431564859308</v>
      </c>
      <c r="D65">
        <f t="shared" si="36"/>
        <v>2.1501431564859299</v>
      </c>
      <c r="E65">
        <f t="shared" si="36"/>
        <v>2.1501431564859304</v>
      </c>
      <c r="F65">
        <f t="shared" si="36"/>
        <v>2.1501431564859304</v>
      </c>
      <c r="G65">
        <f t="shared" si="36"/>
        <v>2.1501431564859299</v>
      </c>
      <c r="H65">
        <f t="shared" si="36"/>
        <v>2.1501431564859299</v>
      </c>
      <c r="I65">
        <f t="shared" si="36"/>
        <v>2.1501431564859299</v>
      </c>
      <c r="J65">
        <f t="shared" si="37"/>
        <v>2.1501431564859304</v>
      </c>
      <c r="K65">
        <f t="shared" si="38"/>
        <v>2.1501431564859304</v>
      </c>
      <c r="L65">
        <f t="shared" si="39"/>
        <v>2.1501431564859308</v>
      </c>
      <c r="M65">
        <f t="shared" si="40"/>
        <v>2.1501431564859304</v>
      </c>
      <c r="N65">
        <f t="shared" si="41"/>
        <v>2.1501431564859304</v>
      </c>
      <c r="O65">
        <f t="shared" si="36"/>
        <v>2.1501431564859312</v>
      </c>
      <c r="P65">
        <f t="shared" si="36"/>
        <v>2.1501431564859299</v>
      </c>
      <c r="R65" t="s">
        <v>21</v>
      </c>
    </row>
    <row r="66" spans="1:18" x14ac:dyDescent="0.2">
      <c r="A66">
        <v>17</v>
      </c>
      <c r="B66">
        <f t="shared" si="42"/>
        <v>2.1501431564859299</v>
      </c>
      <c r="C66">
        <f t="shared" si="36"/>
        <v>2.1501431564859308</v>
      </c>
      <c r="D66">
        <f t="shared" si="36"/>
        <v>2.1501431564859299</v>
      </c>
      <c r="E66">
        <f t="shared" si="36"/>
        <v>2.1501431564859304</v>
      </c>
      <c r="F66">
        <f t="shared" si="36"/>
        <v>2.1501431564859304</v>
      </c>
      <c r="G66">
        <f t="shared" si="36"/>
        <v>2.1501431564859299</v>
      </c>
      <c r="H66">
        <f t="shared" si="36"/>
        <v>2.1501431564859299</v>
      </c>
      <c r="I66">
        <f t="shared" si="36"/>
        <v>2.1501431564859299</v>
      </c>
      <c r="J66">
        <f t="shared" si="37"/>
        <v>2.1501431564859304</v>
      </c>
      <c r="K66">
        <f t="shared" si="38"/>
        <v>2.1501431564859304</v>
      </c>
      <c r="L66">
        <f t="shared" si="39"/>
        <v>2.1501431564859308</v>
      </c>
      <c r="M66">
        <f t="shared" si="40"/>
        <v>2.1501431564859304</v>
      </c>
      <c r="N66">
        <f t="shared" si="41"/>
        <v>2.1501431564859304</v>
      </c>
      <c r="O66">
        <f t="shared" si="36"/>
        <v>2.1501431564859312</v>
      </c>
      <c r="P66">
        <f t="shared" si="36"/>
        <v>2.1501431564859299</v>
      </c>
      <c r="R66" t="s">
        <v>21</v>
      </c>
    </row>
    <row r="67" spans="1:18" x14ac:dyDescent="0.2">
      <c r="A67">
        <v>18</v>
      </c>
      <c r="B67">
        <f t="shared" si="42"/>
        <v>2.1501431564859299</v>
      </c>
      <c r="C67">
        <f t="shared" ref="C67:C69" si="43">C66</f>
        <v>2.1501431564859308</v>
      </c>
      <c r="D67">
        <f t="shared" ref="D67:D69" si="44">D66</f>
        <v>2.1501431564859299</v>
      </c>
      <c r="E67">
        <f t="shared" ref="E67:E69" si="45">E66</f>
        <v>2.1501431564859304</v>
      </c>
      <c r="F67">
        <f t="shared" ref="F67:F69" si="46">F66</f>
        <v>2.1501431564859304</v>
      </c>
      <c r="G67">
        <f t="shared" ref="G67:G69" si="47">G66</f>
        <v>2.1501431564859299</v>
      </c>
      <c r="H67">
        <f t="shared" ref="H67:H69" si="48">H66</f>
        <v>2.1501431564859299</v>
      </c>
      <c r="I67">
        <f t="shared" ref="I67:I69" si="49">I66</f>
        <v>2.1501431564859299</v>
      </c>
      <c r="J67">
        <f t="shared" si="37"/>
        <v>2.1501431564859304</v>
      </c>
      <c r="K67">
        <f t="shared" si="38"/>
        <v>2.1501431564859304</v>
      </c>
      <c r="L67">
        <f t="shared" si="39"/>
        <v>2.1501431564859308</v>
      </c>
      <c r="M67">
        <f t="shared" si="40"/>
        <v>2.1501431564859304</v>
      </c>
      <c r="N67">
        <f t="shared" si="41"/>
        <v>2.1501431564859304</v>
      </c>
      <c r="O67">
        <f t="shared" ref="O67:O69" si="50">O66</f>
        <v>2.1501431564859312</v>
      </c>
      <c r="P67">
        <f t="shared" ref="P67:P69" si="51">P66</f>
        <v>2.1501431564859299</v>
      </c>
      <c r="R67" t="s">
        <v>21</v>
      </c>
    </row>
    <row r="68" spans="1:18" x14ac:dyDescent="0.2">
      <c r="A68">
        <v>19</v>
      </c>
      <c r="B68">
        <f t="shared" si="42"/>
        <v>2.1501431564859299</v>
      </c>
      <c r="C68">
        <f t="shared" si="43"/>
        <v>2.1501431564859308</v>
      </c>
      <c r="D68">
        <f t="shared" si="44"/>
        <v>2.1501431564859299</v>
      </c>
      <c r="E68">
        <f t="shared" si="45"/>
        <v>2.1501431564859304</v>
      </c>
      <c r="F68">
        <f t="shared" si="46"/>
        <v>2.1501431564859304</v>
      </c>
      <c r="G68">
        <f t="shared" si="47"/>
        <v>2.1501431564859299</v>
      </c>
      <c r="H68">
        <f t="shared" si="48"/>
        <v>2.1501431564859299</v>
      </c>
      <c r="I68">
        <f t="shared" si="49"/>
        <v>2.1501431564859299</v>
      </c>
      <c r="J68">
        <f t="shared" si="37"/>
        <v>2.1501431564859304</v>
      </c>
      <c r="K68">
        <f t="shared" si="38"/>
        <v>2.1501431564859304</v>
      </c>
      <c r="L68">
        <f t="shared" si="39"/>
        <v>2.1501431564859308</v>
      </c>
      <c r="M68">
        <f t="shared" si="40"/>
        <v>2.1501431564859304</v>
      </c>
      <c r="N68">
        <f t="shared" si="41"/>
        <v>2.1501431564859304</v>
      </c>
      <c r="O68">
        <f t="shared" si="50"/>
        <v>2.1501431564859312</v>
      </c>
      <c r="P68">
        <f t="shared" si="51"/>
        <v>2.1501431564859299</v>
      </c>
      <c r="R68" t="s">
        <v>21</v>
      </c>
    </row>
    <row r="69" spans="1:18" x14ac:dyDescent="0.2">
      <c r="A69">
        <v>20</v>
      </c>
      <c r="B69">
        <f t="shared" si="42"/>
        <v>2.1501431564859299</v>
      </c>
      <c r="C69">
        <f t="shared" si="43"/>
        <v>2.1501431564859308</v>
      </c>
      <c r="D69">
        <f t="shared" si="44"/>
        <v>2.1501431564859299</v>
      </c>
      <c r="E69">
        <f t="shared" si="45"/>
        <v>2.1501431564859304</v>
      </c>
      <c r="F69">
        <f t="shared" si="46"/>
        <v>2.1501431564859304</v>
      </c>
      <c r="G69">
        <f t="shared" si="47"/>
        <v>2.1501431564859299</v>
      </c>
      <c r="H69">
        <f t="shared" si="48"/>
        <v>2.1501431564859299</v>
      </c>
      <c r="I69">
        <f t="shared" si="49"/>
        <v>2.1501431564859299</v>
      </c>
      <c r="J69">
        <f t="shared" si="37"/>
        <v>2.1501431564859304</v>
      </c>
      <c r="K69">
        <f t="shared" si="38"/>
        <v>2.1501431564859304</v>
      </c>
      <c r="L69">
        <f t="shared" si="39"/>
        <v>2.1501431564859308</v>
      </c>
      <c r="M69">
        <f t="shared" si="40"/>
        <v>2.1501431564859304</v>
      </c>
      <c r="N69">
        <f t="shared" si="41"/>
        <v>2.1501431564859304</v>
      </c>
      <c r="O69">
        <f t="shared" si="50"/>
        <v>2.1501431564859312</v>
      </c>
      <c r="P69">
        <f t="shared" si="51"/>
        <v>2.1501431564859299</v>
      </c>
      <c r="R69" t="s">
        <v>21</v>
      </c>
    </row>
    <row r="72" spans="1:18" x14ac:dyDescent="0.2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</row>
    <row r="73" spans="1:18" x14ac:dyDescent="0.2">
      <c r="A73" s="33"/>
      <c r="B73" s="33">
        <v>1</v>
      </c>
      <c r="C73" s="33">
        <v>2</v>
      </c>
      <c r="D73" s="33">
        <v>3</v>
      </c>
      <c r="E73" s="33">
        <v>4</v>
      </c>
      <c r="F73" s="33">
        <v>5</v>
      </c>
      <c r="G73" s="33">
        <v>6</v>
      </c>
      <c r="H73" s="33">
        <v>7</v>
      </c>
      <c r="I73" s="33">
        <v>8</v>
      </c>
      <c r="J73" s="33">
        <v>9</v>
      </c>
      <c r="K73" s="33">
        <v>10</v>
      </c>
      <c r="L73" s="33">
        <v>11</v>
      </c>
      <c r="M73" s="33">
        <v>12</v>
      </c>
      <c r="N73" s="33">
        <v>13</v>
      </c>
      <c r="O73" s="33">
        <v>14</v>
      </c>
      <c r="P73" s="33">
        <v>15</v>
      </c>
    </row>
    <row r="74" spans="1:18" x14ac:dyDescent="0.2">
      <c r="A74" s="34" t="s">
        <v>53</v>
      </c>
      <c r="B74" s="35">
        <f>B29*30</f>
        <v>514.4943954615768</v>
      </c>
      <c r="C74" s="35">
        <f t="shared" ref="C74:P74" si="52">C29*30</f>
        <v>542.5478303631952</v>
      </c>
      <c r="D74" s="35">
        <f t="shared" si="52"/>
        <v>492.74657075581229</v>
      </c>
      <c r="E74" s="35">
        <f t="shared" si="52"/>
        <v>507.22979494651554</v>
      </c>
      <c r="F74" s="35">
        <f t="shared" si="52"/>
        <v>510.86892339996433</v>
      </c>
      <c r="G74" s="35">
        <f t="shared" si="52"/>
        <v>455.5961606597358</v>
      </c>
      <c r="H74" s="35">
        <f t="shared" si="52"/>
        <v>492.47124130797761</v>
      </c>
      <c r="I74" s="35">
        <f t="shared" si="52"/>
        <v>507.75907276238343</v>
      </c>
      <c r="J74" s="35">
        <f t="shared" si="52"/>
        <v>488.8189817050548</v>
      </c>
      <c r="K74" s="35">
        <f t="shared" si="52"/>
        <v>488.92781294863721</v>
      </c>
      <c r="L74" s="35">
        <f t="shared" si="52"/>
        <v>514.43443803579294</v>
      </c>
      <c r="M74" s="35">
        <f t="shared" si="52"/>
        <v>473.61893785931233</v>
      </c>
      <c r="N74" s="35">
        <f t="shared" si="52"/>
        <v>518.63682217649034</v>
      </c>
      <c r="O74" s="35">
        <f t="shared" si="52"/>
        <v>513.14078742766151</v>
      </c>
      <c r="P74" s="35">
        <f t="shared" si="52"/>
        <v>455.62354716526323</v>
      </c>
    </row>
    <row r="75" spans="1:18" x14ac:dyDescent="0.2">
      <c r="A75" s="36" t="s">
        <v>54</v>
      </c>
      <c r="B75" s="37">
        <f>B74*12</f>
        <v>6173.9327455389212</v>
      </c>
      <c r="C75" s="37">
        <f t="shared" ref="C75:P75" si="53">C74*12</f>
        <v>6510.573964358342</v>
      </c>
      <c r="D75" s="37">
        <f t="shared" si="53"/>
        <v>5912.9588490697479</v>
      </c>
      <c r="E75" s="37">
        <f t="shared" si="53"/>
        <v>6086.7575393581865</v>
      </c>
      <c r="F75" s="37">
        <f t="shared" si="53"/>
        <v>6130.4270807995717</v>
      </c>
      <c r="G75" s="37">
        <f t="shared" si="53"/>
        <v>5467.1539279168301</v>
      </c>
      <c r="H75" s="37">
        <f t="shared" si="53"/>
        <v>5909.6548956957313</v>
      </c>
      <c r="I75" s="37">
        <f t="shared" si="53"/>
        <v>6093.1088731486016</v>
      </c>
      <c r="J75" s="37">
        <f t="shared" si="53"/>
        <v>5865.8277804606578</v>
      </c>
      <c r="K75" s="37">
        <f t="shared" si="53"/>
        <v>5867.1337553836465</v>
      </c>
      <c r="L75" s="37">
        <f t="shared" si="53"/>
        <v>6173.2132564295152</v>
      </c>
      <c r="M75" s="37">
        <f t="shared" si="53"/>
        <v>5683.4272543117477</v>
      </c>
      <c r="N75" s="37">
        <f t="shared" si="53"/>
        <v>6223.6418661178841</v>
      </c>
      <c r="O75" s="37">
        <f t="shared" si="53"/>
        <v>6157.6894491319381</v>
      </c>
      <c r="P75" s="37">
        <f t="shared" si="53"/>
        <v>5467.4825659831586</v>
      </c>
    </row>
    <row r="76" spans="1:18" x14ac:dyDescent="0.2">
      <c r="A76" s="36" t="s">
        <v>55</v>
      </c>
      <c r="B76" s="37">
        <f>B74*$B$32</f>
        <v>383298.3246188747</v>
      </c>
      <c r="C76" s="37">
        <f t="shared" ref="C76:P76" si="54">C74*$B$32</f>
        <v>404198.13362058043</v>
      </c>
      <c r="D76" s="37">
        <f t="shared" si="54"/>
        <v>367096.19521308015</v>
      </c>
      <c r="E76" s="37">
        <f t="shared" si="54"/>
        <v>377886.1972351541</v>
      </c>
      <c r="F76" s="37">
        <f t="shared" si="54"/>
        <v>380597.34793297341</v>
      </c>
      <c r="G76" s="37">
        <f t="shared" si="54"/>
        <v>339419.13969150319</v>
      </c>
      <c r="H76" s="37">
        <f t="shared" si="54"/>
        <v>366891.07477444329</v>
      </c>
      <c r="I76" s="37">
        <f t="shared" si="54"/>
        <v>378280.50920797564</v>
      </c>
      <c r="J76" s="37">
        <f t="shared" si="54"/>
        <v>364170.1413702658</v>
      </c>
      <c r="K76" s="37">
        <f t="shared" si="54"/>
        <v>364251.2206467347</v>
      </c>
      <c r="L76" s="37">
        <f t="shared" si="54"/>
        <v>383253.65633666574</v>
      </c>
      <c r="M76" s="37">
        <f t="shared" si="54"/>
        <v>352846.10870518768</v>
      </c>
      <c r="N76" s="37">
        <f t="shared" si="54"/>
        <v>386384.43252148532</v>
      </c>
      <c r="O76" s="37">
        <f t="shared" si="54"/>
        <v>382289.88663360785</v>
      </c>
      <c r="P76" s="37">
        <f t="shared" si="54"/>
        <v>339439.54263812111</v>
      </c>
    </row>
    <row r="77" spans="1:18" x14ac:dyDescent="0.2">
      <c r="A77" s="38" t="s">
        <v>56</v>
      </c>
      <c r="B77" s="39">
        <f>B37</f>
        <v>-4.6634629495296425</v>
      </c>
      <c r="C77" s="39">
        <f t="shared" ref="C77:P77" si="55">C37</f>
        <v>-4.9177439590503953</v>
      </c>
      <c r="D77" s="39">
        <f t="shared" si="55"/>
        <v>-4.4663370417591421</v>
      </c>
      <c r="E77" s="39">
        <f t="shared" si="55"/>
        <v>-4.5976153996943747</v>
      </c>
      <c r="F77" s="39">
        <f t="shared" si="55"/>
        <v>-4.6306010665178432</v>
      </c>
      <c r="G77" s="39">
        <f t="shared" si="55"/>
        <v>-4.1295995329132884</v>
      </c>
      <c r="H77" s="39">
        <f t="shared" si="55"/>
        <v>-4.4638414097557266</v>
      </c>
      <c r="I77" s="39">
        <f t="shared" si="55"/>
        <v>-4.6024128620303699</v>
      </c>
      <c r="J77" s="39">
        <f t="shared" si="55"/>
        <v>-4.4307367200049006</v>
      </c>
      <c r="K77" s="39">
        <f t="shared" si="55"/>
        <v>-4.4317231845352723</v>
      </c>
      <c r="L77" s="39">
        <f t="shared" si="55"/>
        <v>-4.6629194854294331</v>
      </c>
      <c r="M77" s="39">
        <f t="shared" si="55"/>
        <v>-4.29296098924645</v>
      </c>
      <c r="N77" s="39">
        <f t="shared" si="55"/>
        <v>-4.7010105956780714</v>
      </c>
      <c r="O77" s="39">
        <f t="shared" si="55"/>
        <v>-4.651193620708896</v>
      </c>
      <c r="P77" s="39">
        <f t="shared" si="55"/>
        <v>-4.1298477687638062</v>
      </c>
    </row>
    <row r="78" spans="1:18" x14ac:dyDescent="0.2">
      <c r="A78" s="33"/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</row>
    <row r="79" spans="1:18" x14ac:dyDescent="0.2">
      <c r="A79" s="33"/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</row>
    <row r="80" spans="1:18" x14ac:dyDescent="0.2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</row>
    <row r="81" spans="1:16" x14ac:dyDescent="0.2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pans="1:16" x14ac:dyDescent="0.2">
      <c r="A82" s="33"/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</sheetData>
  <phoneticPr fontId="4" type="noConversion"/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 Optimo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Manuel De oliveira de jesus</dc:creator>
  <cp:lastModifiedBy>Paulo Manuel De oliveira de jesus</cp:lastModifiedBy>
  <dcterms:created xsi:type="dcterms:W3CDTF">2025-11-21T20:30:16Z</dcterms:created>
  <dcterms:modified xsi:type="dcterms:W3CDTF">2025-11-22T15:26:17Z</dcterms:modified>
</cp:coreProperties>
</file>